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redkuorumsl-my.sharepoint.com/personal/helena_lejarazu_redkuorum_eus/Documents/Documentos/1. KUORUM/126 Plan igualdad interno Ortuella 2026/3. Resultados Entregados/"/>
    </mc:Choice>
  </mc:AlternateContent>
  <xr:revisionPtr revIDLastSave="6" documentId="8_{00C9406C-4B43-483A-9E56-413CA2B9BFCB}" xr6:coauthVersionLast="47" xr6:coauthVersionMax="47" xr10:uidLastSave="{FF43C5C0-BCD5-410A-91F1-6B166C263BAF}"/>
  <bookViews>
    <workbookView xWindow="-110" yWindow="-110" windowWidth="19420" windowHeight="11500" tabRatio="500" activeTab="4" xr2:uid="{00000000-000D-0000-FFFF-FFFF00000000}"/>
  </bookViews>
  <sheets>
    <sheet name="Dashboard" sheetId="1" r:id="rId1"/>
    <sheet name="Resumen" sheetId="2" r:id="rId2"/>
    <sheet name="Plan operativo" sheetId="3" r:id="rId3"/>
    <sheet name="Datos (aux)" sheetId="4" state="hidden" r:id="rId4"/>
    <sheet name="Seguimiento" sheetId="5" r:id="rId5"/>
  </sheets>
  <definedNames>
    <definedName name="_xlnm._FilterDatabase" localSheetId="2" hidden="1">'Plan operativo'!$A$1:$O$61</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64" i="5" l="1"/>
  <c r="E64" i="5"/>
  <c r="D64" i="5"/>
  <c r="C64" i="5"/>
  <c r="A64" i="5"/>
  <c r="F63" i="5"/>
  <c r="E63" i="5"/>
  <c r="D63" i="5"/>
  <c r="C63" i="5"/>
  <c r="A63" i="5"/>
  <c r="F62" i="5"/>
  <c r="E62" i="5"/>
  <c r="D62" i="5"/>
  <c r="C62" i="5"/>
  <c r="A62" i="5"/>
  <c r="F61" i="5"/>
  <c r="E61" i="5"/>
  <c r="D61" i="5"/>
  <c r="C61" i="5"/>
  <c r="A61" i="5"/>
  <c r="F60" i="5"/>
  <c r="E60" i="5"/>
  <c r="D60" i="5"/>
  <c r="C60" i="5"/>
  <c r="A60" i="5"/>
  <c r="F59" i="5"/>
  <c r="E59" i="5"/>
  <c r="D59" i="5"/>
  <c r="C59" i="5"/>
  <c r="A59" i="5"/>
  <c r="F58" i="5"/>
  <c r="E58" i="5"/>
  <c r="D58" i="5"/>
  <c r="C58" i="5"/>
  <c r="A58" i="5"/>
  <c r="F57" i="5"/>
  <c r="E57" i="5"/>
  <c r="D57" i="5"/>
  <c r="C57" i="5"/>
  <c r="A57" i="5"/>
  <c r="F56" i="5"/>
  <c r="E56" i="5"/>
  <c r="D56" i="5"/>
  <c r="C56" i="5"/>
  <c r="A56" i="5"/>
  <c r="F55" i="5"/>
  <c r="E55" i="5"/>
  <c r="D55" i="5"/>
  <c r="C55" i="5"/>
  <c r="A55" i="5"/>
  <c r="F54" i="5"/>
  <c r="E54" i="5"/>
  <c r="D54" i="5"/>
  <c r="C54" i="5"/>
  <c r="A54" i="5"/>
  <c r="F53" i="5"/>
  <c r="E53" i="5"/>
  <c r="D53" i="5"/>
  <c r="C53" i="5"/>
  <c r="A53" i="5"/>
  <c r="F52" i="5"/>
  <c r="E52" i="5"/>
  <c r="D52" i="5"/>
  <c r="C52" i="5"/>
  <c r="A52" i="5"/>
  <c r="F51" i="5"/>
  <c r="E51" i="5"/>
  <c r="D51" i="5"/>
  <c r="C51" i="5"/>
  <c r="A51" i="5"/>
  <c r="F50" i="5"/>
  <c r="E50" i="5"/>
  <c r="D50" i="5"/>
  <c r="C50" i="5"/>
  <c r="A50" i="5"/>
  <c r="F49" i="5"/>
  <c r="E49" i="5"/>
  <c r="D49" i="5"/>
  <c r="C49" i="5"/>
  <c r="A49" i="5"/>
  <c r="F48" i="5"/>
  <c r="E48" i="5"/>
  <c r="D48" i="5"/>
  <c r="C48" i="5"/>
  <c r="A48" i="5"/>
  <c r="F47" i="5"/>
  <c r="E47" i="5"/>
  <c r="D47" i="5"/>
  <c r="C47" i="5"/>
  <c r="A47" i="5"/>
  <c r="F46" i="5"/>
  <c r="E46" i="5"/>
  <c r="D46" i="5"/>
  <c r="C46" i="5"/>
  <c r="A46" i="5"/>
  <c r="F45" i="5"/>
  <c r="E45" i="5"/>
  <c r="D45" i="5"/>
  <c r="C45" i="5"/>
  <c r="A45" i="5"/>
  <c r="F44" i="5"/>
  <c r="E44" i="5"/>
  <c r="D44" i="5"/>
  <c r="C44" i="5"/>
  <c r="A44" i="5"/>
  <c r="F43" i="5"/>
  <c r="E43" i="5"/>
  <c r="D43" i="5"/>
  <c r="C43" i="5"/>
  <c r="A43" i="5"/>
  <c r="F42" i="5"/>
  <c r="E42" i="5"/>
  <c r="D42" i="5"/>
  <c r="C42" i="5"/>
  <c r="A42" i="5"/>
  <c r="F41" i="5"/>
  <c r="E41" i="5"/>
  <c r="D41" i="5"/>
  <c r="C41" i="5"/>
  <c r="A41" i="5"/>
  <c r="F40" i="5"/>
  <c r="E40" i="5"/>
  <c r="D40" i="5"/>
  <c r="C40" i="5"/>
  <c r="A40" i="5"/>
  <c r="F39" i="5"/>
  <c r="E39" i="5"/>
  <c r="D39" i="5"/>
  <c r="C39" i="5"/>
  <c r="A39" i="5"/>
  <c r="F38" i="5"/>
  <c r="E38" i="5"/>
  <c r="D38" i="5"/>
  <c r="C38" i="5"/>
  <c r="A38" i="5"/>
  <c r="F37" i="5"/>
  <c r="E37" i="5"/>
  <c r="D37" i="5"/>
  <c r="C37" i="5"/>
  <c r="A37" i="5"/>
  <c r="F36" i="5"/>
  <c r="E36" i="5"/>
  <c r="D36" i="5"/>
  <c r="C36" i="5"/>
  <c r="A36" i="5"/>
  <c r="F35" i="5"/>
  <c r="E35" i="5"/>
  <c r="D35" i="5"/>
  <c r="C35" i="5"/>
  <c r="A35" i="5"/>
  <c r="F34" i="5"/>
  <c r="E34" i="5"/>
  <c r="D34" i="5"/>
  <c r="C34" i="5"/>
  <c r="A34" i="5"/>
  <c r="F33" i="5"/>
  <c r="E33" i="5"/>
  <c r="D33" i="5"/>
  <c r="C33" i="5"/>
  <c r="A33" i="5"/>
  <c r="F32" i="5"/>
  <c r="E32" i="5"/>
  <c r="D32" i="5"/>
  <c r="C32" i="5"/>
  <c r="A32" i="5"/>
  <c r="F31" i="5"/>
  <c r="E31" i="5"/>
  <c r="D31" i="5"/>
  <c r="C31" i="5"/>
  <c r="A31" i="5"/>
  <c r="F30" i="5"/>
  <c r="E30" i="5"/>
  <c r="D30" i="5"/>
  <c r="C30" i="5"/>
  <c r="A30" i="5"/>
  <c r="F29" i="5"/>
  <c r="E29" i="5"/>
  <c r="D29" i="5"/>
  <c r="C29" i="5"/>
  <c r="A29" i="5"/>
  <c r="F28" i="5"/>
  <c r="E28" i="5"/>
  <c r="D28" i="5"/>
  <c r="C28" i="5"/>
  <c r="A28" i="5"/>
  <c r="F27" i="5"/>
  <c r="E27" i="5"/>
  <c r="D27" i="5"/>
  <c r="C27" i="5"/>
  <c r="A27" i="5"/>
  <c r="F26" i="5"/>
  <c r="E26" i="5"/>
  <c r="D26" i="5"/>
  <c r="C26" i="5"/>
  <c r="A26" i="5"/>
  <c r="F25" i="5"/>
  <c r="E25" i="5"/>
  <c r="D25" i="5"/>
  <c r="C25" i="5"/>
  <c r="A25" i="5"/>
  <c r="F24" i="5"/>
  <c r="E24" i="5"/>
  <c r="D24" i="5"/>
  <c r="C24" i="5"/>
  <c r="A24" i="5"/>
  <c r="F23" i="5"/>
  <c r="E23" i="5"/>
  <c r="D23" i="5"/>
  <c r="C23" i="5"/>
  <c r="A23" i="5"/>
  <c r="F22" i="5"/>
  <c r="E22" i="5"/>
  <c r="D22" i="5"/>
  <c r="C22" i="5"/>
  <c r="A22" i="5"/>
  <c r="F21" i="5"/>
  <c r="E21" i="5"/>
  <c r="D21" i="5"/>
  <c r="C21" i="5"/>
  <c r="A21" i="5"/>
  <c r="F20" i="5"/>
  <c r="E20" i="5"/>
  <c r="D20" i="5"/>
  <c r="C20" i="5"/>
  <c r="A20" i="5"/>
  <c r="F19" i="5"/>
  <c r="E19" i="5"/>
  <c r="D19" i="5"/>
  <c r="C19" i="5"/>
  <c r="A19" i="5"/>
  <c r="F18" i="5"/>
  <c r="E18" i="5"/>
  <c r="D18" i="5"/>
  <c r="C18" i="5"/>
  <c r="A18" i="5"/>
  <c r="F17" i="5"/>
  <c r="E17" i="5"/>
  <c r="D17" i="5"/>
  <c r="C17" i="5"/>
  <c r="A17" i="5"/>
  <c r="F16" i="5"/>
  <c r="E16" i="5"/>
  <c r="D16" i="5"/>
  <c r="C16" i="5"/>
  <c r="A16" i="5"/>
  <c r="F15" i="5"/>
  <c r="E15" i="5"/>
  <c r="D15" i="5"/>
  <c r="C15" i="5"/>
  <c r="A15" i="5"/>
  <c r="F14" i="5"/>
  <c r="E14" i="5"/>
  <c r="D14" i="5"/>
  <c r="C14" i="5"/>
  <c r="A14" i="5"/>
  <c r="F13" i="5"/>
  <c r="E13" i="5"/>
  <c r="D13" i="5"/>
  <c r="C13" i="5"/>
  <c r="A13" i="5"/>
  <c r="F12" i="5"/>
  <c r="E12" i="5"/>
  <c r="D12" i="5"/>
  <c r="C12" i="5"/>
  <c r="A12" i="5"/>
  <c r="F11" i="5"/>
  <c r="E11" i="5"/>
  <c r="D11" i="5"/>
  <c r="C11" i="5"/>
  <c r="A11" i="5"/>
  <c r="F10" i="5"/>
  <c r="E10" i="5"/>
  <c r="D10" i="5"/>
  <c r="C10" i="5"/>
  <c r="A10" i="5"/>
  <c r="F9" i="5"/>
  <c r="E9" i="5"/>
  <c r="D9" i="5"/>
  <c r="C9" i="5"/>
  <c r="A9" i="5"/>
  <c r="F8" i="5"/>
  <c r="E8" i="5"/>
  <c r="D8" i="5"/>
  <c r="C8" i="5"/>
  <c r="A8" i="5"/>
  <c r="F7" i="5"/>
  <c r="E7" i="5"/>
  <c r="D7" i="5"/>
  <c r="C7" i="5"/>
  <c r="A7" i="5"/>
  <c r="F6" i="5"/>
  <c r="E6" i="5"/>
  <c r="D6" i="5"/>
  <c r="C6" i="5"/>
  <c r="A6" i="5"/>
  <c r="F5" i="5"/>
  <c r="E5" i="5"/>
  <c r="D5" i="5"/>
  <c r="E16" i="1" s="1"/>
  <c r="C5" i="5"/>
  <c r="A5" i="5"/>
  <c r="C32" i="2"/>
  <c r="C31" i="2"/>
  <c r="C30" i="2"/>
  <c r="C29" i="2"/>
  <c r="C28" i="2"/>
  <c r="C27" i="2"/>
  <c r="C26" i="2"/>
  <c r="C25" i="2"/>
  <c r="F17" i="2"/>
  <c r="E17" i="2"/>
  <c r="D17" i="2"/>
  <c r="C17" i="2"/>
  <c r="F16" i="2"/>
  <c r="E16" i="2"/>
  <c r="D16" i="2"/>
  <c r="C16" i="2"/>
  <c r="G16" i="2" s="1"/>
  <c r="F8" i="2"/>
  <c r="E8" i="2"/>
  <c r="D8" i="2"/>
  <c r="C8" i="2"/>
  <c r="F7" i="2"/>
  <c r="E7" i="2"/>
  <c r="D7" i="2"/>
  <c r="C7" i="2"/>
  <c r="F26" i="1"/>
  <c r="E26" i="1"/>
  <c r="D26" i="1"/>
  <c r="C26" i="1"/>
  <c r="G26" i="1" s="1"/>
  <c r="F24" i="1"/>
  <c r="E24" i="1"/>
  <c r="D24" i="1"/>
  <c r="C24" i="1"/>
  <c r="G24" i="1" s="1"/>
  <c r="F17" i="1"/>
  <c r="E17" i="1"/>
  <c r="D17" i="1"/>
  <c r="C17" i="1"/>
  <c r="K14" i="1"/>
  <c r="J14" i="1"/>
  <c r="K13" i="1"/>
  <c r="J13" i="1"/>
  <c r="K12" i="1"/>
  <c r="J12" i="1"/>
  <c r="L12" i="1" s="1"/>
  <c r="K11" i="1"/>
  <c r="J11" i="1"/>
  <c r="F11" i="1"/>
  <c r="E11" i="1"/>
  <c r="D11" i="1"/>
  <c r="C11" i="1"/>
  <c r="K10" i="1"/>
  <c r="J10" i="1"/>
  <c r="F10" i="1"/>
  <c r="E10" i="1"/>
  <c r="D10" i="1"/>
  <c r="C10" i="1"/>
  <c r="K9" i="1"/>
  <c r="J9" i="1"/>
  <c r="F9" i="1"/>
  <c r="E9" i="1"/>
  <c r="D9" i="1"/>
  <c r="C9" i="1"/>
  <c r="K8" i="1"/>
  <c r="J8" i="1"/>
  <c r="F8" i="1"/>
  <c r="E8" i="1"/>
  <c r="D8" i="1"/>
  <c r="C8" i="1"/>
  <c r="K7" i="1"/>
  <c r="J7" i="1"/>
  <c r="F7" i="1"/>
  <c r="F12" i="1" s="1"/>
  <c r="E7" i="1"/>
  <c r="E12" i="1" s="1"/>
  <c r="D7" i="1"/>
  <c r="D12" i="1" s="1"/>
  <c r="C7" i="1"/>
  <c r="C12" i="1" s="1"/>
  <c r="E18" i="1" l="1"/>
  <c r="C33" i="2"/>
  <c r="F18" i="2"/>
  <c r="F25" i="1" s="1"/>
  <c r="E18" i="2"/>
  <c r="E25" i="1" s="1"/>
  <c r="D18" i="2"/>
  <c r="D25" i="1" s="1"/>
  <c r="C18" i="2"/>
  <c r="F9" i="2"/>
  <c r="F23" i="1" s="1"/>
  <c r="E9" i="2"/>
  <c r="E23" i="1" s="1"/>
  <c r="D9" i="2"/>
  <c r="D23" i="1" s="1"/>
  <c r="L14" i="1"/>
  <c r="L13" i="1"/>
  <c r="L11" i="1"/>
  <c r="L10" i="1"/>
  <c r="L9" i="1"/>
  <c r="L8" i="1"/>
  <c r="L7" i="1"/>
  <c r="C9" i="2"/>
  <c r="G7" i="2"/>
  <c r="G9" i="2"/>
  <c r="G18" i="2"/>
  <c r="C25" i="1"/>
  <c r="G25" i="1" s="1"/>
  <c r="F16" i="1"/>
  <c r="F18" i="1" s="1"/>
  <c r="G17" i="2"/>
  <c r="G8" i="2"/>
  <c r="C23" i="1"/>
  <c r="G23" i="1" s="1"/>
  <c r="C16" i="1"/>
  <c r="C18" i="1" s="1"/>
  <c r="D16" i="1"/>
  <c r="D18" i="1" s="1"/>
</calcChain>
</file>

<file path=xl/sharedStrings.xml><?xml version="1.0" encoding="utf-8"?>
<sst xmlns="http://schemas.openxmlformats.org/spreadsheetml/2006/main" count="998" uniqueCount="342">
  <si>
    <t>Panel de seguimiento del Plan de Igualdad Interno</t>
  </si>
  <si>
    <t>Se actualiza automáticamente a medida que se rellena la hoja de Seguimiento.</t>
  </si>
  <si>
    <t>ESTADO DE LAS ACCIONES</t>
  </si>
  <si>
    <t>AVANCE POR EJE (acciones ejecutadas algún año)</t>
  </si>
  <si>
    <t>Estado</t>
  </si>
  <si>
    <t>Eje</t>
  </si>
  <si>
    <t>Total acc.</t>
  </si>
  <si>
    <t>Ejecutadas</t>
  </si>
  <si>
    <t xml:space="preserve">% </t>
  </si>
  <si>
    <t>Ejecutada</t>
  </si>
  <si>
    <t>1. Gestión de personas</t>
  </si>
  <si>
    <t>En curso</t>
  </si>
  <si>
    <t>2. Acceso y selección</t>
  </si>
  <si>
    <t>No iniciada</t>
  </si>
  <si>
    <t>3. Formación</t>
  </si>
  <si>
    <t>Aplazada</t>
  </si>
  <si>
    <t>4. Seguridad y salud</t>
  </si>
  <si>
    <t>No procede</t>
  </si>
  <si>
    <t>5. Valoración y retribución</t>
  </si>
  <si>
    <t>Total con seguimiento</t>
  </si>
  <si>
    <t>6. Conciliación</t>
  </si>
  <si>
    <t>7. Cultura organizacional</t>
  </si>
  <si>
    <t>GRADO DE AVANCE</t>
  </si>
  <si>
    <t>8. Violencia y acoso</t>
  </si>
  <si>
    <t>Indicador</t>
  </si>
  <si>
    <t>Acciones previstas</t>
  </si>
  <si>
    <t>% ejecución</t>
  </si>
  <si>
    <t>EJECUCIÓN: PREVISTO vs EJECUTADO</t>
  </si>
  <si>
    <t>2027</t>
  </si>
  <si>
    <t>2028</t>
  </si>
  <si>
    <t>2029</t>
  </si>
  <si>
    <t>2030</t>
  </si>
  <si>
    <t>Total</t>
  </si>
  <si>
    <t>Horas previstas</t>
  </si>
  <si>
    <t>Horas ejecutadas</t>
  </si>
  <si>
    <t>Ppto previsto (€)</t>
  </si>
  <si>
    <t>Ppto ejecutado (€)</t>
  </si>
  <si>
    <t>Plan de Igualdad Interno · Ayuntamiento de Ortuella</t>
  </si>
  <si>
    <t>Resumen operativo y económico del plan (2027-2030)</t>
  </si>
  <si>
    <t>HORAS DE GESTIÓN POR AÑO</t>
  </si>
  <si>
    <t>TOTAL</t>
  </si>
  <si>
    <t>Persona responsable de la gestión del plan, dependiente de Secretaría</t>
  </si>
  <si>
    <t>Apoyos (Secretaría, técnica, otros)</t>
  </si>
  <si>
    <t>TOTAL horas de gestión</t>
  </si>
  <si>
    <t>La dedicación de gestión se cubre con la persona contratada anualmente a través del plan de empleo (con</t>
  </si>
  <si>
    <t>formación en igualdad) y el apoyo del personal municipal. Las horas son estimativas y orientan la planificación.</t>
  </si>
  <si>
    <t>PRESUPUESTO DE EXTERNALIZACIÓN</t>
  </si>
  <si>
    <t>Instrumentos globales (*)</t>
  </si>
  <si>
    <t>Propio del plan de igualdad</t>
  </si>
  <si>
    <t>TOTAL externalización</t>
  </si>
  <si>
    <t>(*) Coste de instrumentos de gestión (valoración de puestos, riesgos psicosociales, plan de formación) que el</t>
  </si>
  <si>
    <t>Ayuntamiento debe dotar de perspectiva de género con independencia de este plan. No es gasto propio del plan.</t>
  </si>
  <si>
    <t>PRESUPUESTO POR CAPÍTULO (4 años)</t>
  </si>
  <si>
    <t>Capítulo</t>
  </si>
  <si>
    <t>Presupuesto externo</t>
  </si>
  <si>
    <t>1. Sistema de gestión de personas</t>
  </si>
  <si>
    <t>2. Acceso, selección y promoción</t>
  </si>
  <si>
    <t>4. Seguridad y salud laboral</t>
  </si>
  <si>
    <t>5. Valoración y auditoría retributiva</t>
  </si>
  <si>
    <t>6. Conciliación corresponsable</t>
  </si>
  <si>
    <t>Cód.</t>
  </si>
  <si>
    <t>Capítulo / Eje</t>
  </si>
  <si>
    <t>Objetivo</t>
  </si>
  <si>
    <t>Acción</t>
  </si>
  <si>
    <t>Descripción</t>
  </si>
  <si>
    <t>Persona responsable</t>
  </si>
  <si>
    <t>Tipo</t>
  </si>
  <si>
    <t>Años</t>
  </si>
  <si>
    <t>Horas gestión
responsable</t>
  </si>
  <si>
    <t>Rol apoyo</t>
  </si>
  <si>
    <t>Horas
apoyo</t>
  </si>
  <si>
    <t>¿Externaliza?</t>
  </si>
  <si>
    <t>Tipo de presupuesto</t>
  </si>
  <si>
    <t>Presupuesto
externo (€)</t>
  </si>
  <si>
    <t>1.1.1</t>
  </si>
  <si>
    <t>Constituir la estructura de gestión del plan</t>
  </si>
  <si>
    <t>1.1.1 Aprobar, registrar y difundir el plan</t>
  </si>
  <si>
    <t>Aprobación del I Plan de Igualdad en el Empleo Público en los órganos competentes, negociación con la representación sindical, inscripción en el Registro de planes de igualdad de las Administraciones Públicas y difusión a toda la plantilla por los canales internos, incluidos los que alcanzan al personal sin acceso habitual a medios informáticos</t>
  </si>
  <si>
    <t>Documento aprobado</t>
  </si>
  <si>
    <t>Puntual</t>
  </si>
  <si>
    <t>Secretaría</t>
  </si>
  <si>
    <t>No</t>
  </si>
  <si>
    <t>1.1.2</t>
  </si>
  <si>
    <t>1.1.2 Designar la persona responsable de la gestión del plan, dependiente de Secretaría</t>
  </si>
  <si>
    <t>Designación formal, con funciones y dedicación establecidas por escrito. Se prevé que pueda realizarse mediante la contratación de una persona a través del plan de empleo.</t>
  </si>
  <si>
    <t>Persona designada</t>
  </si>
  <si>
    <t>Alcaldía</t>
  </si>
  <si>
    <t>1.1.3</t>
  </si>
  <si>
    <t>1.1.3 Constituir el grupo motor técnico y mantenerlo operativo</t>
  </si>
  <si>
    <t>Integrado por la Secretaría, la persona responsable de la gestión del plan, dependiente de Secretaría y la persona responsable de las políticas de igualdad municipales, con el liderazgo de la primera. En este espacio se definen las funciones que corresponden a la responsable de las políticas de igualdad municipales respecto del plan interno. Incluye la convocatoria de las reuniones, su celebración, el levantamiento de actas y el seguimiento de los acuerdos</t>
  </si>
  <si>
    <t>Órgano constituido y actas</t>
  </si>
  <si>
    <t>Continua</t>
  </si>
  <si>
    <t>Todos los años</t>
  </si>
  <si>
    <t>Técnica igualdad</t>
  </si>
  <si>
    <t>1.1.4</t>
  </si>
  <si>
    <t>1.1.4 Constituir la Comisión de Igualdad y mantenerla operativa</t>
  </si>
  <si>
    <t>Órgano paritario con representación de la organización y representación sindical, articulado con la mesa de negociación, con composición, funciones y periodicidad definidas. Incluye convocatoria, celebración, actas y seguimiento de acuerdos</t>
  </si>
  <si>
    <t>Comisión de Igualdad</t>
  </si>
  <si>
    <t>1.1.5</t>
  </si>
  <si>
    <t>1.1.5 Constituir el grupo motor político y mantenerlo operativo</t>
  </si>
  <si>
    <t>Espacio de seguimiento entre la Alcaldía, responsable de personal, y la Concejalía de Igualdad. Incluye la convocatoria anual, la celebración de la reunión, el acta y el seguimiento de los compromisos adquiridos</t>
  </si>
  <si>
    <t>1.2.1</t>
  </si>
  <si>
    <t>Planificar, hacer seguimiento y evaluar</t>
  </si>
  <si>
    <t>1.2.1 Elaborar y aprobar un plan operativo anual</t>
  </si>
  <si>
    <t>Cada año, en el primer trimestre, con las medidas que se ejecutan en el ejercicio, los servicios implicados, el calendario, las horas de dedicación y el presupuesto necesario, aprobado por las estructuras de gestión del plan. Su diseño ha de ser sencillo y sostenible con los medios disponibles</t>
  </si>
  <si>
    <t>—</t>
  </si>
  <si>
    <t>1.2.2</t>
  </si>
  <si>
    <t>1.2.2 Elaborar un informe anual de seguimiento y evaluación</t>
  </si>
  <si>
    <t>Con los indicadores desagregados por sexo, el grado de ejecución de las medidas, las dificultades encontradas y las propuestas de ajuste, presentado a la Comisión de Igualdad</t>
  </si>
  <si>
    <t>Documento elaborado</t>
  </si>
  <si>
    <t>1.2.3</t>
  </si>
  <si>
    <t>1.2.3 Devolver anualmente los resultados a la plantilla</t>
  </si>
  <si>
    <t>Resumen breve de lo ejecutado y lo pendiente, en formatos que lleguen a todo el personal, por medios presenciales o telemáticos según se considere oportuno en cada caso</t>
  </si>
  <si>
    <t>Acción ejecutada</t>
  </si>
  <si>
    <t>1.3.1</t>
  </si>
  <si>
    <t>Disponer de datos desagregados por sexo</t>
  </si>
  <si>
    <t>1.3.1 Extender la explotación de los datos desagregados por sexo a los registros de gestión de personas</t>
  </si>
  <si>
    <t>Selección, promoción, formación, permisos y medidas de conciliación, retribuciones y bajas. Incluye determinar qué informes permite extraer la herramienta de nóminas y dejar configurados los que el plan necesita para su seguimiento y para la aplicación de la cláusula de prioridad prevista en el artículo 21 del Decreto Legislativo 1/2023</t>
  </si>
  <si>
    <t>Registro actualizado</t>
  </si>
  <si>
    <t>2.1.1</t>
  </si>
  <si>
    <t>Incorporar las garantías de igualdad a todas las vías de acceso</t>
  </si>
  <si>
    <t>2.1.1 Elaborar un modelo único de bases con las cláusulas de igualdad</t>
  </si>
  <si>
    <t>Modelo aplicable a todos los procesos selectivos, con las obligaciones de los artículos 18.5, 19.4 y 21 del Decreto Legislativo 1/2023: cláusula de prioridad en favor de las mujeres formulada conforme al texto legal, composición equilibrada del tribunal, valoración del tiempo dedicado a cuidados, protección de la maternidad, adaptación de las pruebas en situaciones de embarazo, parto y lactancia, contenidos de igualdad en los temarios y uso no sexista del lenguaje</t>
  </si>
  <si>
    <t>2.1.2</t>
  </si>
  <si>
    <t>2.1.2 Modificar el Reglamento de bolsas de trabajo</t>
  </si>
  <si>
    <t>Incorporación de las mismas garantías a la vía de acceso del personal laboral e interino, con negociación en la mesa correspondiente</t>
  </si>
  <si>
    <t>Instrumento revisado</t>
  </si>
  <si>
    <t>2.1.3</t>
  </si>
  <si>
    <t>2.1.3 Aplicar una lista de verificación previa a cada convocatoria</t>
  </si>
  <si>
    <t>Instrumento breve de comprobación del lenguaje empleado y de los requisitos y formulaciones que puedan operar como barrera para uno de los sexos, aplicado antes de dar por válida la convocatoria. La medida recoge una propuesta formulada por la representación de personal</t>
  </si>
  <si>
    <t>Cláusula/criterio incorporado</t>
  </si>
  <si>
    <t>2.2.1</t>
  </si>
  <si>
    <t>Evaluar el impacto de género de las ofertas públicas de empleo</t>
  </si>
  <si>
    <t>2.2.1 Someter cada convocatoria de oferta pública de empleo a evaluación previa de impacto en función del género</t>
  </si>
  <si>
    <t>Elaboración del informe con carácter previo a la aprobación de la oferta, con análisis de la composición por sexo de los puestos ofertados y propuesta de medidas correctoras cuando proceda</t>
  </si>
  <si>
    <t>Estudio realizado</t>
  </si>
  <si>
    <t>2.3.1</t>
  </si>
  <si>
    <t>Disponer de la información necesaria para aplicar la acción positiva</t>
  </si>
  <si>
    <t>2.3.1 Registrar la concurrencia y los resultados de cada proceso desagregados por sexo</t>
  </si>
  <si>
    <t>Personas aspirantes, personas admitidas, personas que superan cada fase y personas seleccionadas, con determinación previa de la representación de cada sexo en la plaza convocada</t>
  </si>
  <si>
    <t>2.4.1</t>
  </si>
  <si>
    <t>Actuar sobre la segregación en el acceso</t>
  </si>
  <si>
    <t>2.4.1 Verificar la aplicación del régimen específico en la Policía Local</t>
  </si>
  <si>
    <t>Comprobación del porcentaje de plazas que corresponde al Ayuntamiento en la convocatoria unificada conforme al artículo 66 del Decreto Legislativo 1/2020, y constancia de su aplicación</t>
  </si>
  <si>
    <t>Policía local</t>
  </si>
  <si>
    <t>2.4.2</t>
  </si>
  <si>
    <t>2.4.2 Revisar los requisitos y las pruebas físicas</t>
  </si>
  <si>
    <t>Análisis de los requisitos de acceso y de las pruebas de aptitud física de los puestos de Brigada de Obras y de Policía Local, para identificar exigencias no justificadas por las funciones del puesto que puedan operar como barrera indirecta</t>
  </si>
  <si>
    <t>2.4.3</t>
  </si>
  <si>
    <t>2.4.3 Difundir las convocatorias de forma dirigida</t>
  </si>
  <si>
    <t>Difusión específica de las convocatorias correspondientes a puestos con presencia de un sexo inferior al cuarenta por ciento, a través de los canales que alcanzan al colectivo infrarrepresentado</t>
  </si>
  <si>
    <t>Acción de difusión realizada</t>
  </si>
  <si>
    <t>2.4.4</t>
  </si>
  <si>
    <t>2.4.4 Planificar el relevo generacional con perspectiva de género</t>
  </si>
  <si>
    <t>Previsión de las vacantes derivadas de jubilaciones durante la vigencia del plan, con determinación de la composición por sexo de cada puesto afectado y de las medidas aplicables en su cobertura</t>
  </si>
  <si>
    <t>3.1.1</t>
  </si>
  <si>
    <t>Capacitar en igualdad a quienes gestionan personas</t>
  </si>
  <si>
    <t>3.1.1 Formar al personal de gestión de personas en selección sin sesgos</t>
  </si>
  <si>
    <t>Acción formativa (8 h) sobre igualdad en la selección y las convocatorias sin sesgos, dirigida al personal con funciones de gestión de personas (Secretaría, Intervención, RR. HH.).</t>
  </si>
  <si>
    <t>Nº de sesiones y asistentes por sexo</t>
  </si>
  <si>
    <t>Sí</t>
  </si>
  <si>
    <t>Propio del plan</t>
  </si>
  <si>
    <t>3.1.2</t>
  </si>
  <si>
    <t>3.1.2 Formar a la Comisión de Igualdad y al grupo motor</t>
  </si>
  <si>
    <t>Acción formativa de arranque (6 h) sobre el funcionamiento del plan de igualdad, el seguimiento y el papel de la Comisión, dirigida a la Comisión de Igualdad y al grupo motor, al constituirse.</t>
  </si>
  <si>
    <t>3.1.3</t>
  </si>
  <si>
    <t>3.1.3 Formar al personal de gestión de personas en valoración y retribución</t>
  </si>
  <si>
    <t>Acción formativa (8 h) sobre valoración de puestos y retribución con perspectiva de género, dirigida al personal con funciones de gestión de personas.</t>
  </si>
  <si>
    <t>3.2.1</t>
  </si>
  <si>
    <t>Dotarse de un plan de formación con perspectiva de género</t>
  </si>
  <si>
    <t>3.2.1 Elaborar un plan de formación con perspectiva de género que incluya la formación en igualdad</t>
  </si>
  <si>
    <t>Elaborar un plan de formación del personal del que el Ayuntamiento carece, incorporando desde su origen la perspectiva de género y recogiendo las acciones formativas en igualdad. Puede subcontratarse su elaboración.</t>
  </si>
  <si>
    <t>Instrumento global</t>
  </si>
  <si>
    <t>3.2.2</t>
  </si>
  <si>
    <t>3.2.2 Concretar y aprobar la programación formativa anual</t>
  </si>
  <si>
    <t>Concretar y aprobar cada año la programación formativa, dentro del plan de formación, garantizando que mantiene la perspectiva de género y ejecuta las acciones formativas en igualdad previstas.</t>
  </si>
  <si>
    <t>3.2.3</t>
  </si>
  <si>
    <t>3.2.3 Incorporar la perspectiva de género a la formación propia</t>
  </si>
  <si>
    <t>Valoración previa de su pertinencia en cada acción formativa que el Ayuntamiento organice y, cuando proceda, inclusión de contenidos específicos en el temario</t>
  </si>
  <si>
    <t>3.3.1</t>
  </si>
  <si>
    <t>Llevar la formación a los puestos que hoy no la reciben</t>
  </si>
  <si>
    <t>3.3.1 Adaptar horarios y modalidades</t>
  </si>
  <si>
    <t>Programación de las acciones formativas en franjas compatibles con la jornada del servicio de limpieza y con la turnicidad de la Policía Local, computando las horas como tiempo de trabajo</t>
  </si>
  <si>
    <t>3.3.2</t>
  </si>
  <si>
    <t>3.3.2 Establecer un canal de comunicación para el personal sin acceso informático</t>
  </si>
  <si>
    <t>Vía estable de comunicación de la oferta formativa para la Brigada de Obras, el servicio de limpieza y la conserjería, que no dependa del correo electrónico</t>
  </si>
  <si>
    <t>3.3.3</t>
  </si>
  <si>
    <t>3.3.3 Formar a los puestos operativos y de limpieza en su puesto de trabajo con perspectiva de género</t>
  </si>
  <si>
    <t>Acción formativa (8 h) sobre el propio puesto de trabajo con perspectiva de género, en formato accesible, dirigida al personal operativo y de limpieza, el colectivo con menor acceso a la formación según el diagnóstico.</t>
  </si>
  <si>
    <t>3.4.1</t>
  </si>
  <si>
    <t>Registrar y evaluar la participación</t>
  </si>
  <si>
    <t>3.4.1 Registrar la participación en formación desagregada por sexo</t>
  </si>
  <si>
    <t>Registro por sexo, puesto, grupo profesional y acción formativa, en las condiciones exigidas para la homologación, con explotación anual de los datos</t>
  </si>
  <si>
    <t>4.1.1</t>
  </si>
  <si>
    <t>Incorporar la perspectiva de género al sistema preventivo</t>
  </si>
  <si>
    <t>4.1.1 Realizar la evaluación de riesgos psicosociales con perspectiva de género</t>
  </si>
  <si>
    <t>Retomar, a través del servicio de prevención, la evaluación iniciada y no concluida, incorporando la doble presencia y la exposición sostenida a la hostilidad de la ciudadanía entre los factores de análisis, con participación de la plantilla y resultados desagregados por sexo. Constituye la prioridad del capítulo por su exigibilidad conforme al artículo 47.5, y conecta con el protocolo de actuación frente al acoso.</t>
  </si>
  <si>
    <t>Servicio de prevención</t>
  </si>
  <si>
    <t>4.1.2</t>
  </si>
  <si>
    <t>4.1.2 Incorporar la variable sexo y los riesgos de los servicios feminizados a la evaluación de riesgos</t>
  </si>
  <si>
    <t>En la próxima revisión de la evaluación de riesgos, aplicar las herramientas de Osalan para examinar las tareas efectivamente realizadas en la atención a la ciudadanía y en la limpieza —exposición a hostilidad, a productos químicos y carga física—, generar informes desagregados por sexo y revisar que los equipos de protección individual se adecuen a la diversidad morfológica.</t>
  </si>
  <si>
    <t>4.1.3</t>
  </si>
  <si>
    <t>4.1.3 Rehacer el plan de prevención incorporando la perspectiva de género</t>
  </si>
  <si>
    <t>Rehacer el plan de prevención de riesgos laborales del Ayuntamiento incorporando en él la perspectiva de género en su objeto, su metodología y sus medidas. El servicio de prevención realiza la mayor parte del trabajo técnico.</t>
  </si>
  <si>
    <t>4.1.4</t>
  </si>
  <si>
    <t>4.1.4 Formar cada año en un aspecto de seguridad y salud laboral con perspectiva de género</t>
  </si>
  <si>
    <t>Impartir cada año una acción formativa (4 h) sobre un aspecto de la seguridad y la salud laboral con perspectiva de género, dirigida a la plantilla: en 2027 riesgos psicosociales; en 2028 ergonomía; en 2029 teletrabajo y desconexión digital; y en 2030 violencia de terceros y usuarios, especialmente relevante en los servicios de atención feminizados.</t>
  </si>
  <si>
    <t>4.2.1</t>
  </si>
  <si>
    <t>Asegurar la perspectiva de género en la contratación del servicio de prevención</t>
  </si>
  <si>
    <t>4.2.1 Introducir cláusulas de igualdad en la contratación del servicio de prevención y verificar su cumplimiento</t>
  </si>
  <si>
    <t>En la próxima licitación del servicio de prevención ajeno, incorporar la igualdad en el objeto del contrato y las cláusulas del artículo 22 del Decreto Legislativo 1/2023, extenderlas expresamente a la evaluación de riesgos psicosociales, exigir formación específica en igualdad al equipo adjudicatario y verificar el cumplimiento de esas cláusulas durante toda la prestación.</t>
  </si>
  <si>
    <t>4.3.1</t>
  </si>
  <si>
    <t>Reforzar la participación y la comunicación en materia preventiva</t>
  </si>
  <si>
    <t>4.3.1 Constituir el Comité de Seguridad y Salud e incorporarlo a la planificación de las acciones</t>
  </si>
  <si>
    <t>Constituir el Comité de Seguridad y Salud, formar en igualdad a las personas que lo integren y contar con él en la planificación y el seguimiento de las acciones del plan en materia de seguridad y salud laboral.</t>
  </si>
  <si>
    <t>4.3.2</t>
  </si>
  <si>
    <t>4.3.2 Garantizar que la información preventiva alcance a toda la plantilla</t>
  </si>
  <si>
    <t>Habilitar un canal que llegue a los servicios sin correo corporativo —Brigada de Obras y limpieza—, en coherencia con la medida sobre canales de comunicación del capítulo 3.</t>
  </si>
  <si>
    <t>5.1.1</t>
  </si>
  <si>
    <t>Incorporar la perspectiva de género a la valoración de puestos en curso</t>
  </si>
  <si>
    <t>5.1.1 Solicitar a la empresa adjudicataria la corrección del proyecto de valoración</t>
  </si>
  <si>
    <t>Requerir a la empresa que realiza la valoración que incorpore la perspectiva de género al proyecto en curso, añadiendo el esfuerzo emocional, la responsabilidad sobre el bienestar, las habilidades de cuidado y la resolución de conflictos como factores con grado y peso propios, tomando como referencia la herramienta de trabajo de igual valor del Ministerio de Igualdad. En futuras contrataciones relacionadas con la valoración, la perspectiva de género y la formación específica en igualdad del equipo se incluirán en el objeto del contrato.</t>
  </si>
  <si>
    <t>5.1.2</t>
  </si>
  <si>
    <t>5.1.2 Condicionar la valoración a la previa evaluación de riesgos psicosociales</t>
  </si>
  <si>
    <t>Realizar la evaluación de riesgos psicosociales prevista en el capítulo 4 antes de completar la valoración, de modo que la carga emocional y psicosocial de cada puesto se valore sobre datos objetivos.</t>
  </si>
  <si>
    <t>5.1.3</t>
  </si>
  <si>
    <t>5.1.3 Garantizar la participación informada de las mujeres en la negociación de la valoración</t>
  </si>
  <si>
    <t>Asegurar que las mujeres de la plantilla reciben información sobre el proceso de valoración y participan en la toma de decisiones y en su aceptación, más allá de la composición de la representación sindical, articulando para ello cauces específicos de consulta y participación.</t>
  </si>
  <si>
    <t>5.2.1</t>
  </si>
  <si>
    <t>Dotar a la función de igualdad de un puesto propio</t>
  </si>
  <si>
    <t>5.2.1 Crear la plaza de personal técnico de igualdad en la RPT</t>
  </si>
  <si>
    <t>Crear en la relación de puestos de trabajo una plaza de personal técnico de igualdad con dedicación y formación específicas.</t>
  </si>
  <si>
    <t>Plaza creada en RPT</t>
  </si>
  <si>
    <t>5.2.2</t>
  </si>
  <si>
    <t>5.2.2 Adscribir la unidad de igualdad a la Alcaldía</t>
  </si>
  <si>
    <t>Adscribir la unidad de igualdad a la Alcaldía, garantizando su dependencia directa y su capacidad de impulso transversal.</t>
  </si>
  <si>
    <t>Adscripción formalizada</t>
  </si>
  <si>
    <t>5.3.1</t>
  </si>
  <si>
    <t>Establecer un sistema estable de igualdad y transparencia retributiva</t>
  </si>
  <si>
    <t>5.3.1 Realizar la auditoría retributiva y actualizar el registro</t>
  </si>
  <si>
    <t>Completar la auditoría retributiva una vez revisada la valoración de puestos con perspectiva de género, y actualizar anualmente el registro retributivo analizando las diferencias por sexo, grupo y concepto en cada nivel, sin limitar el análisis a la cifra global, y poniendo la información a disposición de la Comisión de Igualdad.</t>
  </si>
  <si>
    <t>Secretaría/Intervención</t>
  </si>
  <si>
    <t>5.3.2</t>
  </si>
  <si>
    <t>5.3.2 Desarrollar una política de transparencia retributiva</t>
  </si>
  <si>
    <t>Celebrar una reunión anual de información a la plantilla sobre la política retributiva y los resultados del análisis de brecha, asegurando la presencia y la participación de las mujeres, con una comunicación global de los resultados accesible al conjunto del personal.</t>
  </si>
  <si>
    <t>6.1.1</t>
  </si>
  <si>
    <t>Promover un uso corresponsable de las medidas de conciliación</t>
  </si>
  <si>
    <t>6.1.1 Difundir un catálogo de medidas de conciliación</t>
  </si>
  <si>
    <t>Elaborar y difundir un catálogo accesible que explique las medidas disponibles, las mejoras internas y el procedimiento de solicitud, e incluirlo en el protocolo de acogida del personal de nueva incorporación.</t>
  </si>
  <si>
    <t>6.1.2</t>
  </si>
  <si>
    <t>6.1.2 Sensibilizar en corresponsabilidad, con atención a los hombres</t>
  </si>
  <si>
    <t>Acción formativa y de sensibilización (4 h) sobre corresponsabilidad y uso de las medidas de conciliación, dirigida a la plantilla y con especial atención a los hombres. Puede impartirla el programa Gizonduz de Emakunde de forma gratuita.</t>
  </si>
  <si>
    <t>6.2.1</t>
  </si>
  <si>
    <t>Actualizar el teletrabajo y garantizar la desconexión digital</t>
  </si>
  <si>
    <t>6.2.1 Incorporar la perspectiva de género y la desconexión digital a la revisión del teletrabajo en curso</t>
  </si>
  <si>
    <t>Aprovechar la revisión del programa de teletrabajo que se negocia actualmente en la mesa de negociación permanente para incorporar la perspectiva de género, tomando como referencia los principios del Decreto 113/2023: garantizar la voluntariedad y la reversibilidad, objetivar los criterios de acceso, recoger la flexibilidad para las necesidades puntuales de cuidado, y velar por que el teletrabajo no se convierta en un factor de alejamiento de la promoción ni en una modalidad feminizada. La revisión ha de incluir, de manera destacada, la regulación efectiva del derecho a la desconexión digital, que la autoridad laboral señaló como una cuestión a abordar y que resulta esencial para prevenir la prolongación de la jornada y los riesgos psicosociales asociados al trabajo a distancia, en coordinación con el capítulo 4.</t>
  </si>
  <si>
    <t>Secretaría/RRHH</t>
  </si>
  <si>
    <t>6.2.2</t>
  </si>
  <si>
    <t>6.2.2 Ordenar la flexibilidad horaria con criterios objetivos</t>
  </si>
  <si>
    <t>Establecer un marco de flexibilidad horaria basado en las necesidades detectadas y compatible con la organización del servicio, que sustituya los acuerdos informales por criterios conocidos y de aplicación general.</t>
  </si>
  <si>
    <t>6.3.1</t>
  </si>
  <si>
    <t>Conocer y evaluar el uso de las medidas de conciliación</t>
  </si>
  <si>
    <t>6.3.1 Registrar el uso de las medidas por sexo y motivo</t>
  </si>
  <si>
    <t>Incorporar a la base de datos de personal el registro de los permisos, licencias, excedencias y medidas de flexibilidad, con indicación del motivo y del sexo, en coordinación con el sistema de información del capítulo 1.</t>
  </si>
  <si>
    <t>6.3.2</t>
  </si>
  <si>
    <t>6.3.2 Elaborar un informe periódico sobre conciliación</t>
  </si>
  <si>
    <t>Elaborar y difundir un informe periódico sobre el uso de las medidas de conciliación desagregado por sexo, que permita detectar necesidades y ajustar las medidas.</t>
  </si>
  <si>
    <t>7.1.1</t>
  </si>
  <si>
    <t>Explicitar y transformar la cultura y los valores de la organización</t>
  </si>
  <si>
    <t>7.1.1 Realizar un análisis de la cultura y los valores organizativos</t>
  </si>
  <si>
    <t>Efectuar un análisis participativo de la cultura organizacional y de sus valores, con perspectiva de género, que explicite los valores predominantes y acuerde los valores deseados, tomando como referencia herramientas contrastadas como la propuesta por Bai Sarea y Emakunde.</t>
  </si>
  <si>
    <t>7.1.2</t>
  </si>
  <si>
    <t>7.1.2 Realizar una formación-acción en liderazgo con perspectiva de género</t>
  </si>
  <si>
    <t>Realizar una formación-acción participativa, con parte teórica y parte práctica, sobre liderazgo transformacional, liderazgo feminista y liderazgo con perspectiva de género, dirigida a quienes ejercen funciones de jefatura y coordinación.</t>
  </si>
  <si>
    <t>7.2.1</t>
  </si>
  <si>
    <t>Elaborar un manual de acogida que reúna las medidas de igualdad</t>
  </si>
  <si>
    <t>7.2.1 Elaborar y difundir un manual de acogida</t>
  </si>
  <si>
    <t>Elaborar un manual de acogida que reúna, de forma accesible, el protocolo frente al acoso sexual y sexista, el plan de igualdad, las medidas de conciliación, las medidas de seguridad y salud laboral con perspectiva de género, los procesos de promoción y el resto de instrumentos de igualdad, incorporando los que se activen en el futuro, como el desarrollo de la carrera profesional o el sistema de valoración de puestos.</t>
  </si>
  <si>
    <t>7.2.2</t>
  </si>
  <si>
    <t>7.2.2 Integrar la perspectiva de género en la acogida y la identidad corporativa</t>
  </si>
  <si>
    <t>Incorporar la perspectiva de género a la acogida y a la imagen e identidad corporativa de la organización. Se subcontrata su elaboración.</t>
  </si>
  <si>
    <t>Comunicación</t>
  </si>
  <si>
    <t>7.3.1</t>
  </si>
  <si>
    <t>Transversalizar la perspectiva de género en la planificación y la comunicación</t>
  </si>
  <si>
    <t>7.3.1 Incorporar la perspectiva de género de forma transversal a la planificación estratégica</t>
  </si>
  <si>
    <t>Revisar los instrumentos de planificación estratégica para que la perspectiva de género opere de manera transversal en el conjunto de sus líneas de actuación, y no como un objetivo diferenciado, con prioridad en el Plan Estratégico de Recursos Humanos, que hoy carece de ella, y aprovechando la capacidad de transversalización que los documentos ya demuestran con otras perspectivas.</t>
  </si>
  <si>
    <t>Técnica de igualdad</t>
  </si>
  <si>
    <t>7.3.2</t>
  </si>
  <si>
    <t>7.3.2 Aprobar una guía o instrucción de comunicación inclusiva</t>
  </si>
  <si>
    <t>Formalizar el uso no sexista del lenguaje y de la imagen mediante una guía o instrucción de aplicación general, que abarque el lenguaje, las imágenes, los canales internos y externos y las dos lenguas oficiales.</t>
  </si>
  <si>
    <t>8.1.1</t>
  </si>
  <si>
    <t>Completar, aprobar e implantar el protocolo frente al acoso</t>
  </si>
  <si>
    <t>8.1.1 Aprobar el protocolo frente al acoso sexual y por razón de sexo</t>
  </si>
  <si>
    <t>Aprobar formalmente, por los órganos competentes y previa negociación con la representación del personal y remisión a la Comisión de Organización, el protocolo frente al acoso sexual y por razón de sexo.</t>
  </si>
  <si>
    <t>8.1.2</t>
  </si>
  <si>
    <t>8.1.2 Constituir el grupo responsable de su implantación</t>
  </si>
  <si>
    <t>Constituir el grupo motor o grupo responsable de implantar el protocolo, hacer su seguimiento y velar por su aplicación, con la formación específica necesaria para el desempeño de esa función.</t>
  </si>
  <si>
    <t>8.1.3</t>
  </si>
  <si>
    <t>8.1.3 Difundir el protocolo y formar a la plantilla sobre su activación</t>
  </si>
  <si>
    <t>Difundir el protocolo a toda la plantilla e impartir formación sobre qué es el acoso y cómo activar los derechos y el procedimiento. Esta formación puede impartirla Emakunde de forma gratuita a partir del protocolo municipal.</t>
  </si>
  <si>
    <t>8.2.1</t>
  </si>
  <si>
    <t>Prevenir el acoso mediante la formación y la sensibilización</t>
  </si>
  <si>
    <t>8.2.1 Incorporar el acoso a la evaluación de riesgos psicosociales</t>
  </si>
  <si>
    <t>Incluir el acoso sexual, el acoso por razón de sexo y la discriminación como factores específicos en la evaluación de riesgos psicosociales prevista en el capítulo 4.</t>
  </si>
  <si>
    <t>Servicio prevención</t>
  </si>
  <si>
    <t>8.3.1</t>
  </si>
  <si>
    <t>Actualizar la protección de las trabajadoras que enfrentan violencia machista</t>
  </si>
  <si>
    <t>8.3.1 Aprobar una instrucción municipal que actualice el concepto de víctima y el acceso a las medidas</t>
  </si>
  <si>
    <t>Aprobar una instrucción municipal que, en desarrollo de UDALHITZ y mientras el propio acuerdo no se actualice, amplíe el concepto de víctima al de violencia machista del Decreto Legislativo 1/2023, flexibilice las vías de acreditación más allá de la orden judicial y actualice las medidas de protección a la normativa de igualdad vigente.</t>
  </si>
  <si>
    <t>8.3.2</t>
  </si>
  <si>
    <t>8.3.2 Elaborar y difundir una guía de recursos</t>
  </si>
  <si>
    <t>Elaborar y difundir una guía con los recursos públicos y las medidas de protección disponibles para la atención y la recuperación de las trabajadoras que enfrentan violencia machista, equivalente a la que se ofrece a cualquier víctima de violencia machista.</t>
  </si>
  <si>
    <t>TipoPpto</t>
  </si>
  <si>
    <t>Ext</t>
  </si>
  <si>
    <t>H_resp_2027</t>
  </si>
  <si>
    <t>H_resp_2028</t>
  </si>
  <si>
    <t>H_resp_2029</t>
  </si>
  <si>
    <t>H_resp_2030</t>
  </si>
  <si>
    <t>H_apoyo_2027</t>
  </si>
  <si>
    <t>H_apoyo_2028</t>
  </si>
  <si>
    <t>H_apoyo_2029</t>
  </si>
  <si>
    <t>H_apoyo_2030</t>
  </si>
  <si>
    <t>Ppto_2027</t>
  </si>
  <si>
    <t>Ppto_2028</t>
  </si>
  <si>
    <t>Ppto_2029</t>
  </si>
  <si>
    <t>Ppto_2030</t>
  </si>
  <si>
    <t>Cap</t>
  </si>
  <si>
    <t>-</t>
  </si>
  <si>
    <t>Seguimiento anual del Plan de Igualdad Interno · Ayuntamiento de Ortuella</t>
  </si>
  <si>
    <t>Rellenar cada año el bloque correspondiente. El Dashboard se actualiza automáticamente.</t>
  </si>
  <si>
    <t>SEGUIMIENTO 2027</t>
  </si>
  <si>
    <t>SEGUIMIENTO 2028</t>
  </si>
  <si>
    <t>SEGUIMIENTO 2029</t>
  </si>
  <si>
    <t>SEGUIMIENTO 2030</t>
  </si>
  <si>
    <t>Año previsto</t>
  </si>
  <si>
    <t>Horas prev.</t>
  </si>
  <si>
    <t>Ppto prev. (€)</t>
  </si>
  <si>
    <t>Realizado (descripción)</t>
  </si>
  <si>
    <t>Documentos/resultados</t>
  </si>
  <si>
    <t>Horas ejec.</t>
  </si>
  <si>
    <t>Ppto ejec. (€)</t>
  </si>
  <si>
    <t>Observaciones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</si>
</sst>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quot; €&quot;;;\-"/>
    <numFmt numFmtId="165" formatCode="#,##0&quot; €&quot;;;&quot;&quot;"/>
  </numFmts>
  <fonts count="18">
    <font>
      <sz val="11"/>
      <color theme="1"/>
      <name val="Calibri"/>
      <family val="2"/>
      <charset val="1"/>
    </font>
    <font>
      <b/>
      <sz val="15"/>
      <color rgb="FF7B2D8E"/>
      <name val="Arial"/>
      <charset val="1"/>
    </font>
    <font>
      <sz val="9"/>
      <color rgb="FF666666"/>
      <name val="Arial"/>
      <charset val="1"/>
    </font>
    <font>
      <b/>
      <sz val="11"/>
      <color rgb="FF7B2D8E"/>
      <name val="Arial"/>
      <charset val="1"/>
    </font>
    <font>
      <b/>
      <sz val="10"/>
      <color rgb="FFFFFFFF"/>
      <name val="Arial"/>
      <charset val="1"/>
    </font>
    <font>
      <sz val="10"/>
      <color rgb="FF2D2D2D"/>
      <name val="Arial"/>
      <charset val="1"/>
    </font>
    <font>
      <sz val="9"/>
      <color rgb="FF2D2D2D"/>
      <name val="Arial"/>
      <charset val="1"/>
    </font>
    <font>
      <b/>
      <sz val="10"/>
      <color rgb="FF2D2D2D"/>
      <name val="Arial"/>
      <charset val="1"/>
    </font>
    <font>
      <sz val="10"/>
      <color rgb="FF666666"/>
      <name val="Arial"/>
      <charset val="1"/>
    </font>
    <font>
      <sz val="8"/>
      <color rgb="FF666666"/>
      <name val="Arial"/>
      <charset val="1"/>
    </font>
    <font>
      <sz val="8"/>
      <color rgb="FFD85A30"/>
      <name val="Arial"/>
      <charset val="1"/>
    </font>
    <font>
      <b/>
      <sz val="9"/>
      <color rgb="FFFFFFFF"/>
      <name val="Arial"/>
      <charset val="1"/>
    </font>
    <font>
      <b/>
      <sz val="8"/>
      <color rgb="FF7B2D8E"/>
      <name val="Arial"/>
      <charset val="1"/>
    </font>
    <font>
      <b/>
      <sz val="8"/>
      <color rgb="FFD85A30"/>
      <name val="Arial"/>
      <charset val="1"/>
    </font>
    <font>
      <b/>
      <sz val="8"/>
      <color rgb="FFFFFFFF"/>
      <name val="Arial"/>
      <charset val="1"/>
    </font>
    <font>
      <b/>
      <sz val="13"/>
      <color rgb="FF7B2D8E"/>
      <name val="Arial"/>
      <charset val="1"/>
    </font>
    <font>
      <b/>
      <sz val="8.5"/>
      <color rgb="FFFFFFFF"/>
      <name val="Arial"/>
      <charset val="1"/>
    </font>
    <font>
      <sz val="8"/>
      <color rgb="FF2D2D2D"/>
      <name val="Arial"/>
      <charset val="1"/>
    </font>
  </fonts>
  <fills count="14">
    <fill>
      <patternFill patternType="none"/>
    </fill>
    <fill>
      <patternFill patternType="gray125"/>
    </fill>
    <fill>
      <patternFill patternType="solid">
        <fgColor rgb="FF7B2D8E"/>
        <bgColor rgb="FF993366"/>
      </patternFill>
    </fill>
    <fill>
      <patternFill patternType="solid">
        <fgColor rgb="FFEDE3F2"/>
        <bgColor rgb="FFF1E8F5"/>
      </patternFill>
    </fill>
    <fill>
      <patternFill patternType="solid">
        <fgColor rgb="FF666666"/>
        <bgColor rgb="FF808080"/>
      </patternFill>
    </fill>
    <fill>
      <patternFill patternType="solid">
        <fgColor rgb="FFFFFFFF"/>
        <bgColor rgb="FFF5F0F7"/>
      </patternFill>
    </fill>
    <fill>
      <patternFill patternType="solid">
        <fgColor rgb="FFF1E8F5"/>
        <bgColor rgb="FFEDE3F2"/>
      </patternFill>
    </fill>
    <fill>
      <patternFill patternType="solid">
        <fgColor rgb="FF2E8B57"/>
        <bgColor rgb="FF008080"/>
      </patternFill>
    </fill>
    <fill>
      <patternFill patternType="solid">
        <fgColor rgb="FFD85A30"/>
        <bgColor rgb="FFFF8080"/>
      </patternFill>
    </fill>
    <fill>
      <patternFill patternType="solid">
        <fgColor rgb="FF2F6FA8"/>
        <bgColor rgb="FF3366FF"/>
      </patternFill>
    </fill>
    <fill>
      <patternFill patternType="solid">
        <fgColor rgb="FFE8F0E8"/>
        <bgColor rgb="FFE8EEF5"/>
      </patternFill>
    </fill>
    <fill>
      <patternFill patternType="solid">
        <fgColor rgb="FFFDF0E3"/>
        <bgColor rgb="FFF5F0F7"/>
      </patternFill>
    </fill>
    <fill>
      <patternFill patternType="solid">
        <fgColor rgb="FFE8EEF5"/>
        <bgColor rgb="FFE8F0E8"/>
      </patternFill>
    </fill>
    <fill>
      <patternFill patternType="solid">
        <fgColor rgb="FFF5F0F7"/>
        <bgColor rgb="FFF1E8F5"/>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52">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xf numFmtId="0" fontId="4" fillId="2" borderId="1" xfId="0" applyFont="1" applyFill="1" applyBorder="1" applyAlignment="1">
      <alignment horizontal="center"/>
    </xf>
    <xf numFmtId="0" fontId="5" fillId="0" borderId="1" xfId="0" applyFont="1" applyBorder="1"/>
    <xf numFmtId="0" fontId="0" fillId="0" borderId="1" xfId="0" applyBorder="1" applyAlignment="1">
      <alignment horizontal="center"/>
    </xf>
    <xf numFmtId="0" fontId="6" fillId="0" borderId="1" xfId="0" applyFont="1" applyBorder="1"/>
    <xf numFmtId="9" fontId="0" fillId="0" borderId="1" xfId="0" applyNumberFormat="1" applyBorder="1" applyAlignment="1">
      <alignment horizontal="center"/>
    </xf>
    <xf numFmtId="0" fontId="7" fillId="3" borderId="1" xfId="0" applyFont="1" applyFill="1" applyBorder="1"/>
    <xf numFmtId="0" fontId="7" fillId="3" borderId="1" xfId="0" applyFont="1" applyFill="1" applyBorder="1" applyAlignment="1">
      <alignment horizontal="center"/>
    </xf>
    <xf numFmtId="9" fontId="7" fillId="3" borderId="1" xfId="0" applyNumberFormat="1" applyFont="1" applyFill="1" applyBorder="1" applyAlignment="1">
      <alignment horizontal="center"/>
    </xf>
    <xf numFmtId="0" fontId="0" fillId="0" borderId="1" xfId="0" applyBorder="1" applyAlignment="1">
      <alignment horizontal="right"/>
    </xf>
    <xf numFmtId="164" fontId="0" fillId="0" borderId="1" xfId="0" applyNumberFormat="1" applyBorder="1" applyAlignment="1">
      <alignment horizontal="right"/>
    </xf>
    <xf numFmtId="0" fontId="8" fillId="0" borderId="0" xfId="0" applyFont="1"/>
    <xf numFmtId="0" fontId="7" fillId="0" borderId="1" xfId="0" applyFont="1" applyBorder="1"/>
    <xf numFmtId="0" fontId="9" fillId="0" borderId="0" xfId="0" applyFont="1"/>
    <xf numFmtId="164" fontId="7" fillId="3" borderId="1" xfId="0" applyNumberFormat="1" applyFont="1" applyFill="1" applyBorder="1" applyAlignment="1">
      <alignment horizontal="right"/>
    </xf>
    <xf numFmtId="0" fontId="10" fillId="0" borderId="0" xfId="0" applyFont="1"/>
    <xf numFmtId="0" fontId="4" fillId="4" borderId="1" xfId="0" applyFont="1" applyFill="1" applyBorder="1"/>
    <xf numFmtId="0" fontId="11" fillId="2" borderId="1" xfId="0" applyFont="1" applyFill="1" applyBorder="1" applyAlignment="1">
      <alignment horizontal="center" vertical="center" wrapText="1"/>
    </xf>
    <xf numFmtId="0" fontId="6" fillId="5" borderId="1" xfId="0" applyFont="1" applyFill="1" applyBorder="1" applyAlignment="1">
      <alignment vertical="top" wrapText="1"/>
    </xf>
    <xf numFmtId="164" fontId="6" fillId="5" borderId="1" xfId="0" applyNumberFormat="1" applyFont="1" applyFill="1" applyBorder="1" applyAlignment="1">
      <alignment horizontal="right" vertical="top"/>
    </xf>
    <xf numFmtId="0" fontId="6" fillId="6" borderId="1" xfId="0" applyFont="1" applyFill="1" applyBorder="1" applyAlignment="1">
      <alignment vertical="top" wrapText="1"/>
    </xf>
    <xf numFmtId="164" fontId="6" fillId="6" borderId="1" xfId="0" applyNumberFormat="1" applyFont="1" applyFill="1" applyBorder="1" applyAlignment="1">
      <alignment horizontal="right" vertical="top"/>
    </xf>
    <xf numFmtId="0" fontId="12" fillId="5" borderId="1" xfId="0" applyFont="1" applyFill="1" applyBorder="1" applyAlignment="1">
      <alignment vertical="top" wrapText="1"/>
    </xf>
    <xf numFmtId="0" fontId="13" fillId="5" borderId="1" xfId="0" applyFont="1" applyFill="1" applyBorder="1" applyAlignment="1">
      <alignment vertical="top" wrapText="1"/>
    </xf>
    <xf numFmtId="0" fontId="13" fillId="6" borderId="1" xfId="0" applyFont="1" applyFill="1" applyBorder="1" applyAlignment="1">
      <alignment vertical="top" wrapText="1"/>
    </xf>
    <xf numFmtId="0" fontId="12" fillId="6" borderId="1" xfId="0" applyFont="1" applyFill="1" applyBorder="1" applyAlignment="1">
      <alignment vertical="top" wrapText="1"/>
    </xf>
    <xf numFmtId="0" fontId="14" fillId="4" borderId="0" xfId="0" applyFont="1" applyFill="1"/>
    <xf numFmtId="0" fontId="15" fillId="0" borderId="0" xfId="0" applyFont="1"/>
    <xf numFmtId="0" fontId="16" fillId="2" borderId="1" xfId="0" applyFont="1" applyFill="1" applyBorder="1" applyAlignment="1">
      <alignment horizontal="center" vertical="center" wrapText="1"/>
    </xf>
    <xf numFmtId="0" fontId="16" fillId="7" borderId="1" xfId="0" applyFont="1" applyFill="1" applyBorder="1" applyAlignment="1">
      <alignment horizontal="center" vertical="center" wrapText="1"/>
    </xf>
    <xf numFmtId="0" fontId="16" fillId="8" borderId="1" xfId="0" applyFont="1" applyFill="1" applyBorder="1" applyAlignment="1">
      <alignment horizontal="center" vertical="center" wrapText="1"/>
    </xf>
    <xf numFmtId="0" fontId="16" fillId="9" borderId="1" xfId="0" applyFont="1" applyFill="1" applyBorder="1" applyAlignment="1">
      <alignment horizontal="center" vertical="center" wrapText="1"/>
    </xf>
    <xf numFmtId="0" fontId="17" fillId="5" borderId="1" xfId="0" applyFont="1" applyFill="1" applyBorder="1" applyAlignment="1">
      <alignment vertical="top" wrapText="1"/>
    </xf>
    <xf numFmtId="164" fontId="17" fillId="5" borderId="1" xfId="0" applyNumberFormat="1" applyFont="1" applyFill="1" applyBorder="1" applyAlignment="1">
      <alignment vertical="top" wrapText="1"/>
    </xf>
    <xf numFmtId="0" fontId="17" fillId="3" borderId="1" xfId="0" applyFont="1" applyFill="1" applyBorder="1" applyAlignment="1">
      <alignment vertical="top" wrapText="1"/>
    </xf>
    <xf numFmtId="165" fontId="17" fillId="3" borderId="1" xfId="0" applyNumberFormat="1" applyFont="1" applyFill="1" applyBorder="1" applyAlignment="1">
      <alignment vertical="top" wrapText="1"/>
    </xf>
    <xf numFmtId="0" fontId="17" fillId="10" borderId="1" xfId="0" applyFont="1" applyFill="1" applyBorder="1" applyAlignment="1">
      <alignment vertical="top" wrapText="1"/>
    </xf>
    <xf numFmtId="165" fontId="17" fillId="10" borderId="1" xfId="0" applyNumberFormat="1" applyFont="1" applyFill="1" applyBorder="1" applyAlignment="1">
      <alignment vertical="top" wrapText="1"/>
    </xf>
    <xf numFmtId="0" fontId="17" fillId="11" borderId="1" xfId="0" applyFont="1" applyFill="1" applyBorder="1" applyAlignment="1">
      <alignment vertical="top" wrapText="1"/>
    </xf>
    <xf numFmtId="165" fontId="17" fillId="11" borderId="1" xfId="0" applyNumberFormat="1" applyFont="1" applyFill="1" applyBorder="1" applyAlignment="1">
      <alignment vertical="top" wrapText="1"/>
    </xf>
    <xf numFmtId="0" fontId="17" fillId="12" borderId="1" xfId="0" applyFont="1" applyFill="1" applyBorder="1" applyAlignment="1">
      <alignment vertical="top" wrapText="1"/>
    </xf>
    <xf numFmtId="165" fontId="17" fillId="12" borderId="1" xfId="0" applyNumberFormat="1" applyFont="1" applyFill="1" applyBorder="1" applyAlignment="1">
      <alignment vertical="top" wrapText="1"/>
    </xf>
    <xf numFmtId="0" fontId="17" fillId="13" borderId="1" xfId="0" applyFont="1" applyFill="1" applyBorder="1" applyAlignment="1">
      <alignment vertical="top" wrapText="1"/>
    </xf>
    <xf numFmtId="164" fontId="17" fillId="13" borderId="1" xfId="0" applyNumberFormat="1" applyFont="1" applyFill="1" applyBorder="1" applyAlignment="1">
      <alignment vertical="top" wrapText="1"/>
    </xf>
    <xf numFmtId="0" fontId="4" fillId="2" borderId="0" xfId="0" applyFont="1" applyFill="1" applyAlignment="1">
      <alignment horizontal="center" vertical="center"/>
    </xf>
    <xf numFmtId="0" fontId="4" fillId="7" borderId="0" xfId="0" applyFont="1" applyFill="1" applyAlignment="1">
      <alignment horizontal="center" vertical="center"/>
    </xf>
    <xf numFmtId="0" fontId="4" fillId="8" borderId="0" xfId="0" applyFont="1" applyFill="1" applyAlignment="1">
      <alignment horizontal="center" vertical="center"/>
    </xf>
    <xf numFmtId="0" fontId="4" fillId="9" borderId="0" xfId="0" applyFont="1" applyFill="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B2D8E"/>
      <rgbColor rgb="FFFDF0E3"/>
      <rgbColor rgb="FFE8EEF5"/>
      <rgbColor rgb="FF660066"/>
      <rgbColor rgb="FFFF8080"/>
      <rgbColor rgb="FF2F6FA8"/>
      <rgbColor rgb="FFD9D9D9"/>
      <rgbColor rgb="FF000080"/>
      <rgbColor rgb="FFFF00FF"/>
      <rgbColor rgb="FFFFFF00"/>
      <rgbColor rgb="FF00FFFF"/>
      <rgbColor rgb="FF800080"/>
      <rgbColor rgb="FF800000"/>
      <rgbColor rgb="FF008080"/>
      <rgbColor rgb="FF0000FF"/>
      <rgbColor rgb="FF00CCFF"/>
      <rgbColor rgb="FFE8F0E8"/>
      <rgbColor rgb="FFF5F0F7"/>
      <rgbColor rgb="FFF1E8F5"/>
      <rgbColor rgb="FF99CCFF"/>
      <rgbColor rgb="FFFF99CC"/>
      <rgbColor rgb="FFCC99FF"/>
      <rgbColor rgb="FFEDE3F2"/>
      <rgbColor rgb="FF3366FF"/>
      <rgbColor rgb="FF33CCCC"/>
      <rgbColor rgb="FF99CC00"/>
      <rgbColor rgb="FFFFCC00"/>
      <rgbColor rgb="FFFF9900"/>
      <rgbColor rgb="FFD85A30"/>
      <rgbColor rgb="FF666666"/>
      <rgbColor rgb="FF969696"/>
      <rgbColor rgb="FF003366"/>
      <rgbColor rgb="FF2E8B57"/>
      <rgbColor rgb="FF003300"/>
      <rgbColor rgb="FF333300"/>
      <rgbColor rgb="FF993300"/>
      <rgbColor rgb="FF993366"/>
      <rgbColor rgb="FF333399"/>
      <rgbColor rgb="FF2D2D2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L26"/>
  <sheetViews>
    <sheetView showGridLines="0" zoomScaleNormal="100" workbookViewId="0"/>
  </sheetViews>
  <sheetFormatPr defaultColWidth="8.5703125" defaultRowHeight="14.45"/>
  <cols>
    <col min="1" max="1" width="2" customWidth="1"/>
    <col min="2" max="2" width="20" customWidth="1"/>
    <col min="3" max="7" width="11" customWidth="1"/>
    <col min="9" max="9" width="22" customWidth="1"/>
    <col min="10" max="12" width="11" customWidth="1"/>
  </cols>
  <sheetData>
    <row r="2" spans="2:12" ht="18" customHeight="1">
      <c r="B2" s="1" t="s">
        <v>0</v>
      </c>
    </row>
    <row r="3" spans="2:12" ht="15" customHeight="1">
      <c r="B3" s="2" t="s">
        <v>1</v>
      </c>
    </row>
    <row r="5" spans="2:12" ht="15" customHeight="1">
      <c r="B5" s="3" t="s">
        <v>2</v>
      </c>
      <c r="I5" s="3" t="s">
        <v>3</v>
      </c>
    </row>
    <row r="6" spans="2:12" ht="15" customHeight="1">
      <c r="B6" s="4" t="s">
        <v>4</v>
      </c>
      <c r="C6" s="5">
        <v>2027</v>
      </c>
      <c r="D6" s="5">
        <v>2028</v>
      </c>
      <c r="E6" s="5">
        <v>2029</v>
      </c>
      <c r="F6" s="5">
        <v>2030</v>
      </c>
      <c r="I6" s="4" t="s">
        <v>5</v>
      </c>
      <c r="J6" s="4" t="s">
        <v>6</v>
      </c>
      <c r="K6" s="4" t="s">
        <v>7</v>
      </c>
      <c r="L6" s="4" t="s">
        <v>8</v>
      </c>
    </row>
    <row r="7" spans="2:12" ht="15" customHeight="1">
      <c r="B7" s="6" t="s">
        <v>9</v>
      </c>
      <c r="C7" s="7">
        <f>COUNTIF(Seguimiento!$G$5:$G$64,"Ejecutada")</f>
        <v>3</v>
      </c>
      <c r="D7" s="7">
        <f>COUNTIF(Seguimiento!$M$5:$M$64,"Ejecutada")</f>
        <v>0</v>
      </c>
      <c r="E7" s="7">
        <f>COUNTIF(Seguimiento!$S$5:$S$64,"Ejecutada")</f>
        <v>0</v>
      </c>
      <c r="F7" s="7">
        <f>COUNTIF(Seguimiento!$Y$5:$Y$64,"Ejecutada")</f>
        <v>0</v>
      </c>
      <c r="I7" s="8" t="s">
        <v>10</v>
      </c>
      <c r="J7" s="7">
        <f>COUNTIF(Seguimiento!$B$5:$B$64,1)</f>
        <v>9</v>
      </c>
      <c r="K7" s="7">
        <f>SUMPRODUCT((Seguimiento!$B$5:$B$64=1)*(((Seguimiento!$G$5:$G$64="Ejecutada")+(Seguimiento!$M$5:$M$64="Ejecutada")+(Seguimiento!$S$5:$S$64="Ejecutada")+(Seguimiento!$Y$5:$Y$64="Ejecutada"))&gt;0))</f>
        <v>3</v>
      </c>
      <c r="L7" s="9">
        <f t="shared" ref="L7:L14" si="0">IFERROR(K7/J7,0)</f>
        <v>0.33333333333333331</v>
      </c>
    </row>
    <row r="8" spans="2:12" ht="15" customHeight="1">
      <c r="B8" s="6" t="s">
        <v>11</v>
      </c>
      <c r="C8" s="7">
        <f>COUNTIF(Seguimiento!$G$5:$G$64,"En curso")</f>
        <v>0</v>
      </c>
      <c r="D8" s="7">
        <f>COUNTIF(Seguimiento!$M$5:$M$64,"En curso")</f>
        <v>0</v>
      </c>
      <c r="E8" s="7">
        <f>COUNTIF(Seguimiento!$S$5:$S$64,"En curso")</f>
        <v>0</v>
      </c>
      <c r="F8" s="7">
        <f>COUNTIF(Seguimiento!$Y$5:$Y$64,"En curso")</f>
        <v>0</v>
      </c>
      <c r="I8" s="8" t="s">
        <v>12</v>
      </c>
      <c r="J8" s="7">
        <f>COUNTIF(Seguimiento!$B$5:$B$64,2)</f>
        <v>9</v>
      </c>
      <c r="K8" s="7">
        <f>SUMPRODUCT((Seguimiento!$B$5:$B$64=2)*(((Seguimiento!$G$5:$G$64="Ejecutada")+(Seguimiento!$M$5:$M$64="Ejecutada")+(Seguimiento!$S$5:$S$64="Ejecutada")+(Seguimiento!$Y$5:$Y$64="Ejecutada"))&gt;0))</f>
        <v>0</v>
      </c>
      <c r="L8" s="9">
        <f t="shared" si="0"/>
        <v>0</v>
      </c>
    </row>
    <row r="9" spans="2:12" ht="15" customHeight="1">
      <c r="B9" s="6" t="s">
        <v>13</v>
      </c>
      <c r="C9" s="7">
        <f>COUNTIF(Seguimiento!$G$5:$G$64,"No iniciada")</f>
        <v>0</v>
      </c>
      <c r="D9" s="7">
        <f>COUNTIF(Seguimiento!$M$5:$M$64,"No iniciada")</f>
        <v>0</v>
      </c>
      <c r="E9" s="7">
        <f>COUNTIF(Seguimiento!$S$5:$S$64,"No iniciada")</f>
        <v>0</v>
      </c>
      <c r="F9" s="7">
        <f>COUNTIF(Seguimiento!$Y$5:$Y$64,"No iniciada")</f>
        <v>0</v>
      </c>
      <c r="I9" s="8" t="s">
        <v>14</v>
      </c>
      <c r="J9" s="7">
        <f>COUNTIF(Seguimiento!$B$5:$B$64,3)</f>
        <v>10</v>
      </c>
      <c r="K9" s="7">
        <f>SUMPRODUCT((Seguimiento!$B$5:$B$64=3)*(((Seguimiento!$G$5:$G$64="Ejecutada")+(Seguimiento!$M$5:$M$64="Ejecutada")+(Seguimiento!$S$5:$S$64="Ejecutada")+(Seguimiento!$Y$5:$Y$64="Ejecutada"))&gt;0))</f>
        <v>0</v>
      </c>
      <c r="L9" s="9">
        <f t="shared" si="0"/>
        <v>0</v>
      </c>
    </row>
    <row r="10" spans="2:12" ht="15" customHeight="1">
      <c r="B10" s="6" t="s">
        <v>15</v>
      </c>
      <c r="C10" s="7">
        <f>COUNTIF(Seguimiento!$G$5:$G$64,"Aplazada")</f>
        <v>0</v>
      </c>
      <c r="D10" s="7">
        <f>COUNTIF(Seguimiento!$M$5:$M$64,"Aplazada")</f>
        <v>0</v>
      </c>
      <c r="E10" s="7">
        <f>COUNTIF(Seguimiento!$S$5:$S$64,"Aplazada")</f>
        <v>0</v>
      </c>
      <c r="F10" s="7">
        <f>COUNTIF(Seguimiento!$Y$5:$Y$64,"Aplazada")</f>
        <v>0</v>
      </c>
      <c r="I10" s="8" t="s">
        <v>16</v>
      </c>
      <c r="J10" s="7">
        <f>COUNTIF(Seguimiento!$B$5:$B$64,4)</f>
        <v>7</v>
      </c>
      <c r="K10" s="7">
        <f>SUMPRODUCT((Seguimiento!$B$5:$B$64=4)*(((Seguimiento!$G$5:$G$64="Ejecutada")+(Seguimiento!$M$5:$M$64="Ejecutada")+(Seguimiento!$S$5:$S$64="Ejecutada")+(Seguimiento!$Y$5:$Y$64="Ejecutada"))&gt;0))</f>
        <v>0</v>
      </c>
      <c r="L10" s="9">
        <f t="shared" si="0"/>
        <v>0</v>
      </c>
    </row>
    <row r="11" spans="2:12" ht="15" customHeight="1">
      <c r="B11" s="6" t="s">
        <v>17</v>
      </c>
      <c r="C11" s="7">
        <f>COUNTIF(Seguimiento!$G$5:$G$64,"No procede")</f>
        <v>0</v>
      </c>
      <c r="D11" s="7">
        <f>COUNTIF(Seguimiento!$M$5:$M$64,"No procede")</f>
        <v>0</v>
      </c>
      <c r="E11" s="7">
        <f>COUNTIF(Seguimiento!$S$5:$S$64,"No procede")</f>
        <v>0</v>
      </c>
      <c r="F11" s="7">
        <f>COUNTIF(Seguimiento!$Y$5:$Y$64,"No procede")</f>
        <v>0</v>
      </c>
      <c r="I11" s="8" t="s">
        <v>18</v>
      </c>
      <c r="J11" s="7">
        <f>COUNTIF(Seguimiento!$B$5:$B$64,5)</f>
        <v>7</v>
      </c>
      <c r="K11" s="7">
        <f>SUMPRODUCT((Seguimiento!$B$5:$B$64=5)*(((Seguimiento!$G$5:$G$64="Ejecutada")+(Seguimiento!$M$5:$M$64="Ejecutada")+(Seguimiento!$S$5:$S$64="Ejecutada")+(Seguimiento!$Y$5:$Y$64="Ejecutada"))&gt;0))</f>
        <v>0</v>
      </c>
      <c r="L11" s="9">
        <f t="shared" si="0"/>
        <v>0</v>
      </c>
    </row>
    <row r="12" spans="2:12" ht="15" customHeight="1">
      <c r="B12" s="10" t="s">
        <v>19</v>
      </c>
      <c r="C12" s="11">
        <f>SUM(C7:C11)</f>
        <v>3</v>
      </c>
      <c r="D12" s="11">
        <f>SUM(D7:D11)</f>
        <v>0</v>
      </c>
      <c r="E12" s="11">
        <f>SUM(E7:E11)</f>
        <v>0</v>
      </c>
      <c r="F12" s="11">
        <f>SUM(F7:F11)</f>
        <v>0</v>
      </c>
      <c r="I12" s="8" t="s">
        <v>20</v>
      </c>
      <c r="J12" s="7">
        <f>COUNTIF(Seguimiento!$B$5:$B$64,6)</f>
        <v>6</v>
      </c>
      <c r="K12" s="7">
        <f>SUMPRODUCT((Seguimiento!$B$5:$B$64=6)*(((Seguimiento!$G$5:$G$64="Ejecutada")+(Seguimiento!$M$5:$M$64="Ejecutada")+(Seguimiento!$S$5:$S$64="Ejecutada")+(Seguimiento!$Y$5:$Y$64="Ejecutada"))&gt;0))</f>
        <v>0</v>
      </c>
      <c r="L12" s="9">
        <f t="shared" si="0"/>
        <v>0</v>
      </c>
    </row>
    <row r="13" spans="2:12" ht="15" customHeight="1">
      <c r="I13" s="8" t="s">
        <v>21</v>
      </c>
      <c r="J13" s="7">
        <f>COUNTIF(Seguimiento!$B$5:$B$64,7)</f>
        <v>6</v>
      </c>
      <c r="K13" s="7">
        <f>SUMPRODUCT((Seguimiento!$B$5:$B$64=7)*(((Seguimiento!$G$5:$G$64="Ejecutada")+(Seguimiento!$M$5:$M$64="Ejecutada")+(Seguimiento!$S$5:$S$64="Ejecutada")+(Seguimiento!$Y$5:$Y$64="Ejecutada"))&gt;0))</f>
        <v>0</v>
      </c>
      <c r="L13" s="9">
        <f t="shared" si="0"/>
        <v>0</v>
      </c>
    </row>
    <row r="14" spans="2:12" ht="15" customHeight="1">
      <c r="B14" s="3" t="s">
        <v>22</v>
      </c>
      <c r="I14" s="8" t="s">
        <v>23</v>
      </c>
      <c r="J14" s="7">
        <f>COUNTIF(Seguimiento!$B$5:$B$64,8)</f>
        <v>6</v>
      </c>
      <c r="K14" s="7">
        <f>SUMPRODUCT((Seguimiento!$B$5:$B$64=8)*(((Seguimiento!$G$5:$G$64="Ejecutada")+(Seguimiento!$M$5:$M$64="Ejecutada")+(Seguimiento!$S$5:$S$64="Ejecutada")+(Seguimiento!$Y$5:$Y$64="Ejecutada"))&gt;0))</f>
        <v>0</v>
      </c>
      <c r="L14" s="9">
        <f t="shared" si="0"/>
        <v>0</v>
      </c>
    </row>
    <row r="15" spans="2:12" ht="15" customHeight="1">
      <c r="B15" s="4" t="s">
        <v>24</v>
      </c>
      <c r="C15" s="5">
        <v>2027</v>
      </c>
      <c r="D15" s="5">
        <v>2028</v>
      </c>
      <c r="E15" s="5">
        <v>2029</v>
      </c>
      <c r="F15" s="5">
        <v>2030</v>
      </c>
    </row>
    <row r="16" spans="2:12" ht="15" customHeight="1">
      <c r="B16" s="6" t="s">
        <v>25</v>
      </c>
      <c r="C16" s="7">
        <f>COUNTIF(Seguimiento!$D$5:$D$64,"*2027*")+COUNTIF(Seguimiento!$D$5:$D$64,"Todos los años")</f>
        <v>34</v>
      </c>
      <c r="D16" s="7">
        <f>COUNTIF(Seguimiento!$D$5:$D$64,"*2028*")+COUNTIF(Seguimiento!$D$5:$D$64,"Todos los años")</f>
        <v>31</v>
      </c>
      <c r="E16" s="7">
        <f>COUNTIF(Seguimiento!$D$5:$D$64,"*2029*")+COUNTIF(Seguimiento!$D$5:$D$64,"Todos los años")</f>
        <v>29</v>
      </c>
      <c r="F16" s="7">
        <f>COUNTIF(Seguimiento!$D$5:$D$64,"*2030*")+COUNTIF(Seguimiento!$D$5:$D$64,"Todos los años")</f>
        <v>23</v>
      </c>
    </row>
    <row r="17" spans="2:7" ht="15" customHeight="1">
      <c r="B17" s="6" t="s">
        <v>7</v>
      </c>
      <c r="C17" s="7">
        <f>COUNTIF(Seguimiento!$G$5:$G$64,"Ejecutada")</f>
        <v>3</v>
      </c>
      <c r="D17" s="7">
        <f>COUNTIF(Seguimiento!$M$5:$M$64,"Ejecutada")</f>
        <v>0</v>
      </c>
      <c r="E17" s="7">
        <f>COUNTIF(Seguimiento!$S$5:$S$64,"Ejecutada")</f>
        <v>0</v>
      </c>
      <c r="F17" s="7">
        <f>COUNTIF(Seguimiento!$Y$5:$Y$64,"Ejecutada")</f>
        <v>0</v>
      </c>
    </row>
    <row r="18" spans="2:7" ht="15" customHeight="1">
      <c r="B18" s="10" t="s">
        <v>26</v>
      </c>
      <c r="C18" s="12">
        <f>IFERROR(C17/C16,0)</f>
        <v>8.8235294117647065E-2</v>
      </c>
      <c r="D18" s="12">
        <f>IFERROR(D17/D16,0)</f>
        <v>0</v>
      </c>
      <c r="E18" s="12">
        <f>IFERROR(E17/E16,0)</f>
        <v>0</v>
      </c>
      <c r="F18" s="12">
        <f>IFERROR(F17/F16,0)</f>
        <v>0</v>
      </c>
    </row>
    <row r="21" spans="2:7" ht="15" customHeight="1">
      <c r="B21" s="3" t="s">
        <v>27</v>
      </c>
    </row>
    <row r="22" spans="2:7" ht="15" customHeight="1">
      <c r="B22" s="5"/>
      <c r="C22" s="5" t="s">
        <v>28</v>
      </c>
      <c r="D22" s="5" t="s">
        <v>29</v>
      </c>
      <c r="E22" s="5" t="s">
        <v>30</v>
      </c>
      <c r="F22" s="5" t="s">
        <v>31</v>
      </c>
      <c r="G22" s="5" t="s">
        <v>32</v>
      </c>
    </row>
    <row r="23" spans="2:7" ht="15" customHeight="1">
      <c r="B23" s="6" t="s">
        <v>33</v>
      </c>
      <c r="C23" s="13">
        <f>Resumen!C9</f>
        <v>788</v>
      </c>
      <c r="D23" s="13">
        <f>Resumen!D9</f>
        <v>830</v>
      </c>
      <c r="E23" s="13">
        <f>Resumen!E9</f>
        <v>708</v>
      </c>
      <c r="F23" s="13">
        <f>Resumen!F9</f>
        <v>700</v>
      </c>
      <c r="G23" s="13">
        <f>SUM(C23:F23)</f>
        <v>3026</v>
      </c>
    </row>
    <row r="24" spans="2:7" ht="15" customHeight="1">
      <c r="B24" s="6" t="s">
        <v>34</v>
      </c>
      <c r="C24" s="13">
        <f>SUM(Seguimiento!$J$5:$J$64)</f>
        <v>60</v>
      </c>
      <c r="D24" s="13">
        <f>SUM(Seguimiento!$P$5:$P$64)</f>
        <v>0</v>
      </c>
      <c r="E24" s="13">
        <f>SUM(Seguimiento!$V$5:$V$64)</f>
        <v>0</v>
      </c>
      <c r="F24" s="13">
        <f>SUM(Seguimiento!$AB$5:$AB$64)</f>
        <v>0</v>
      </c>
      <c r="G24" s="13">
        <f>SUM(C24:F24)</f>
        <v>60</v>
      </c>
    </row>
    <row r="25" spans="2:7" ht="15" customHeight="1">
      <c r="B25" s="6" t="s">
        <v>35</v>
      </c>
      <c r="C25" s="14">
        <f>Resumen!C18</f>
        <v>24500</v>
      </c>
      <c r="D25" s="14">
        <f>Resumen!D18</f>
        <v>16300</v>
      </c>
      <c r="E25" s="14">
        <f>Resumen!E18</f>
        <v>11100</v>
      </c>
      <c r="F25" s="14">
        <f>Resumen!F18</f>
        <v>6600</v>
      </c>
      <c r="G25" s="14">
        <f>SUM(C25:F25)</f>
        <v>58500</v>
      </c>
    </row>
    <row r="26" spans="2:7" ht="15" customHeight="1">
      <c r="B26" s="6" t="s">
        <v>36</v>
      </c>
      <c r="C26" s="14">
        <f>SUM(Seguimiento!$K$5:$K$64)</f>
        <v>1500</v>
      </c>
      <c r="D26" s="14">
        <f>SUM(Seguimiento!$Q$5:$Q$64)</f>
        <v>0</v>
      </c>
      <c r="E26" s="14">
        <f>SUM(Seguimiento!$W$5:$W$64)</f>
        <v>0</v>
      </c>
      <c r="F26" s="14">
        <f>SUM(Seguimiento!$AC$5:$AC$64)</f>
        <v>0</v>
      </c>
      <c r="G26" s="14">
        <f>SUM(C26:F26)</f>
        <v>1500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G33"/>
  <sheetViews>
    <sheetView showGridLines="0" zoomScaleNormal="100" workbookViewId="0"/>
  </sheetViews>
  <sheetFormatPr defaultColWidth="8.5703125" defaultRowHeight="14.45"/>
  <cols>
    <col min="1" max="1" width="2" customWidth="1"/>
    <col min="2" max="2" width="34" customWidth="1"/>
    <col min="3" max="6" width="15" customWidth="1"/>
    <col min="7" max="7" width="13" customWidth="1"/>
  </cols>
  <sheetData>
    <row r="2" spans="2:7" ht="18" customHeight="1">
      <c r="B2" s="1" t="s">
        <v>37</v>
      </c>
    </row>
    <row r="3" spans="2:7" ht="15" customHeight="1">
      <c r="B3" s="15" t="s">
        <v>38</v>
      </c>
    </row>
    <row r="5" spans="2:7" ht="15" customHeight="1">
      <c r="B5" s="3" t="s">
        <v>39</v>
      </c>
    </row>
    <row r="6" spans="2:7" ht="15" customHeight="1">
      <c r="B6" s="5"/>
      <c r="C6" s="5" t="s">
        <v>28</v>
      </c>
      <c r="D6" s="5" t="s">
        <v>29</v>
      </c>
      <c r="E6" s="5" t="s">
        <v>30</v>
      </c>
      <c r="F6" s="5" t="s">
        <v>31</v>
      </c>
      <c r="G6" s="5" t="s">
        <v>40</v>
      </c>
    </row>
    <row r="7" spans="2:7" ht="15" customHeight="1">
      <c r="B7" s="16" t="s">
        <v>41</v>
      </c>
      <c r="C7" s="7">
        <f>SUM('Datos (aux)'!D2:D61)</f>
        <v>648</v>
      </c>
      <c r="D7" s="7">
        <f>SUM('Datos (aux)'!E2:E61)</f>
        <v>644</v>
      </c>
      <c r="E7" s="7">
        <f>SUM('Datos (aux)'!F2:F61)</f>
        <v>612</v>
      </c>
      <c r="F7" s="7">
        <f>SUM('Datos (aux)'!G2:G61)</f>
        <v>600</v>
      </c>
      <c r="G7" s="7">
        <f>SUM(C7:F7)</f>
        <v>2504</v>
      </c>
    </row>
    <row r="8" spans="2:7" ht="15" customHeight="1">
      <c r="B8" s="6" t="s">
        <v>42</v>
      </c>
      <c r="C8" s="7">
        <f>SUM('Datos (aux)'!H2:H61)</f>
        <v>140</v>
      </c>
      <c r="D8" s="7">
        <f>SUM('Datos (aux)'!I2:I61)</f>
        <v>186</v>
      </c>
      <c r="E8" s="7">
        <f>SUM('Datos (aux)'!J2:J61)</f>
        <v>96</v>
      </c>
      <c r="F8" s="7">
        <f>SUM('Datos (aux)'!K2:K61)</f>
        <v>100</v>
      </c>
      <c r="G8" s="7">
        <f>SUM(C8:F8)</f>
        <v>522</v>
      </c>
    </row>
    <row r="9" spans="2:7" ht="15" customHeight="1">
      <c r="B9" s="10" t="s">
        <v>43</v>
      </c>
      <c r="C9" s="11">
        <f>SUM(C7:C8)</f>
        <v>788</v>
      </c>
      <c r="D9" s="11">
        <f>SUM(D7:D8)</f>
        <v>830</v>
      </c>
      <c r="E9" s="11">
        <f>SUM(E7:E8)</f>
        <v>708</v>
      </c>
      <c r="F9" s="11">
        <f>SUM(F7:F8)</f>
        <v>700</v>
      </c>
      <c r="G9" s="11">
        <f>SUM(C9:F9)</f>
        <v>3026</v>
      </c>
    </row>
    <row r="11" spans="2:7" ht="15" customHeight="1">
      <c r="B11" s="17" t="s">
        <v>44</v>
      </c>
    </row>
    <row r="12" spans="2:7" ht="15" customHeight="1">
      <c r="B12" s="17" t="s">
        <v>45</v>
      </c>
    </row>
    <row r="14" spans="2:7" ht="15" customHeight="1">
      <c r="B14" s="3" t="s">
        <v>46</v>
      </c>
    </row>
    <row r="15" spans="2:7" ht="15" customHeight="1">
      <c r="B15" s="5"/>
      <c r="C15" s="5" t="s">
        <v>28</v>
      </c>
      <c r="D15" s="5" t="s">
        <v>29</v>
      </c>
      <c r="E15" s="5" t="s">
        <v>30</v>
      </c>
      <c r="F15" s="5" t="s">
        <v>31</v>
      </c>
      <c r="G15" s="5" t="s">
        <v>40</v>
      </c>
    </row>
    <row r="16" spans="2:7" ht="15" customHeight="1">
      <c r="B16" s="6" t="s">
        <v>47</v>
      </c>
      <c r="C16" s="14">
        <f>SUMIFS('Datos (aux)'!L2:L61,'Datos (aux)'!$B$2:$B$61,"Instrumento global")</f>
        <v>21500</v>
      </c>
      <c r="D16" s="14">
        <f>SUMIFS('Datos (aux)'!M2:M61,'Datos (aux)'!$B$2:$B$61,"Instrumento global")</f>
        <v>0</v>
      </c>
      <c r="E16" s="14">
        <f>SUMIFS('Datos (aux)'!N2:N61,'Datos (aux)'!$B$2:$B$61,"Instrumento global")</f>
        <v>5000</v>
      </c>
      <c r="F16" s="14">
        <f>SUMIFS('Datos (aux)'!O2:O61,'Datos (aux)'!$B$2:$B$61,"Instrumento global")</f>
        <v>0</v>
      </c>
      <c r="G16" s="14">
        <f>SUM(C16:F16)</f>
        <v>26500</v>
      </c>
    </row>
    <row r="17" spans="2:7" ht="15" customHeight="1">
      <c r="B17" s="6" t="s">
        <v>48</v>
      </c>
      <c r="C17" s="14">
        <f>SUMIFS('Datos (aux)'!L2:L61,'Datos (aux)'!$B$2:$B$61,"Propio del plan")</f>
        <v>3000</v>
      </c>
      <c r="D17" s="14">
        <f>SUMIFS('Datos (aux)'!M2:M61,'Datos (aux)'!$B$2:$B$61,"Propio del plan")</f>
        <v>16300</v>
      </c>
      <c r="E17" s="14">
        <f>SUMIFS('Datos (aux)'!N2:N61,'Datos (aux)'!$B$2:$B$61,"Propio del plan")</f>
        <v>6100</v>
      </c>
      <c r="F17" s="14">
        <f>SUMIFS('Datos (aux)'!O2:O61,'Datos (aux)'!$B$2:$B$61,"Propio del plan")</f>
        <v>6600</v>
      </c>
      <c r="G17" s="14">
        <f>SUM(C17:F17)</f>
        <v>32000</v>
      </c>
    </row>
    <row r="18" spans="2:7" ht="15" customHeight="1">
      <c r="B18" s="10" t="s">
        <v>49</v>
      </c>
      <c r="C18" s="18">
        <f>SUM(C16:C17)</f>
        <v>24500</v>
      </c>
      <c r="D18" s="18">
        <f>SUM(D16:D17)</f>
        <v>16300</v>
      </c>
      <c r="E18" s="18">
        <f>SUM(E16:E17)</f>
        <v>11100</v>
      </c>
      <c r="F18" s="18">
        <f>SUM(F16:F17)</f>
        <v>6600</v>
      </c>
      <c r="G18" s="18">
        <f>SUM(C18:F18)</f>
        <v>58500</v>
      </c>
    </row>
    <row r="20" spans="2:7" ht="15" customHeight="1">
      <c r="B20" s="19" t="s">
        <v>50</v>
      </c>
    </row>
    <row r="21" spans="2:7" ht="15" customHeight="1">
      <c r="B21" s="19" t="s">
        <v>51</v>
      </c>
    </row>
    <row r="23" spans="2:7" ht="15" customHeight="1">
      <c r="B23" s="3" t="s">
        <v>52</v>
      </c>
    </row>
    <row r="24" spans="2:7" ht="15" customHeight="1">
      <c r="B24" s="20" t="s">
        <v>53</v>
      </c>
      <c r="C24" s="20" t="s">
        <v>54</v>
      </c>
    </row>
    <row r="25" spans="2:7" ht="15" customHeight="1">
      <c r="B25" s="8" t="s">
        <v>55</v>
      </c>
      <c r="C25" s="14">
        <f>SUMIFS('Datos (aux)'!L2:L61,'Datos (aux)'!$P$2:$P$61,1)+SUMIFS('Datos (aux)'!M2:M61,'Datos (aux)'!$P$2:$P$61,1)+SUMIFS('Datos (aux)'!N2:N61,'Datos (aux)'!$P$2:$P$61,1)+SUMIFS('Datos (aux)'!O2:O61,'Datos (aux)'!$P$2:$P$61,1)</f>
        <v>0</v>
      </c>
    </row>
    <row r="26" spans="2:7" ht="15" customHeight="1">
      <c r="B26" s="8" t="s">
        <v>56</v>
      </c>
      <c r="C26" s="14">
        <f>SUMIFS('Datos (aux)'!L2:L61,'Datos (aux)'!$P$2:$P$61,2)+SUMIFS('Datos (aux)'!M2:M61,'Datos (aux)'!$P$2:$P$61,2)+SUMIFS('Datos (aux)'!N2:N61,'Datos (aux)'!$P$2:$P$61,2)+SUMIFS('Datos (aux)'!O2:O61,'Datos (aux)'!$P$2:$P$61,2)</f>
        <v>0</v>
      </c>
    </row>
    <row r="27" spans="2:7" ht="15" customHeight="1">
      <c r="B27" s="8" t="s">
        <v>14</v>
      </c>
      <c r="C27" s="14">
        <f>SUMIFS('Datos (aux)'!L2:L61,'Datos (aux)'!$P$2:$P$61,3)+SUMIFS('Datos (aux)'!M2:M61,'Datos (aux)'!$P$2:$P$61,3)+SUMIFS('Datos (aux)'!N2:N61,'Datos (aux)'!$P$2:$P$61,3)+SUMIFS('Datos (aux)'!O2:O61,'Datos (aux)'!$P$2:$P$61,3)</f>
        <v>8000</v>
      </c>
    </row>
    <row r="28" spans="2:7" ht="15" customHeight="1">
      <c r="B28" s="8" t="s">
        <v>57</v>
      </c>
      <c r="C28" s="14">
        <f>SUMIFS('Datos (aux)'!L2:L61,'Datos (aux)'!$P$2:$P$61,4)+SUMIFS('Datos (aux)'!M2:M61,'Datos (aux)'!$P$2:$P$61,4)+SUMIFS('Datos (aux)'!N2:N61,'Datos (aux)'!$P$2:$P$61,4)+SUMIFS('Datos (aux)'!O2:O61,'Datos (aux)'!$P$2:$P$61,4)</f>
        <v>15000</v>
      </c>
    </row>
    <row r="29" spans="2:7" ht="15" customHeight="1">
      <c r="B29" s="8" t="s">
        <v>58</v>
      </c>
      <c r="C29" s="14">
        <f>SUMIFS('Datos (aux)'!L2:L61,'Datos (aux)'!$P$2:$P$61,5)+SUMIFS('Datos (aux)'!M2:M61,'Datos (aux)'!$P$2:$P$61,5)+SUMIFS('Datos (aux)'!N2:N61,'Datos (aux)'!$P$2:$P$61,5)+SUMIFS('Datos (aux)'!O2:O61,'Datos (aux)'!$P$2:$P$61,5)</f>
        <v>11000</v>
      </c>
    </row>
    <row r="30" spans="2:7" ht="15" customHeight="1">
      <c r="B30" s="8" t="s">
        <v>59</v>
      </c>
      <c r="C30" s="14">
        <f>SUMIFS('Datos (aux)'!L2:L61,'Datos (aux)'!$P$2:$P$61,6)+SUMIFS('Datos (aux)'!M2:M61,'Datos (aux)'!$P$2:$P$61,6)+SUMIFS('Datos (aux)'!N2:N61,'Datos (aux)'!$P$2:$P$61,6)+SUMIFS('Datos (aux)'!O2:O61,'Datos (aux)'!$P$2:$P$61,6)</f>
        <v>0</v>
      </c>
    </row>
    <row r="31" spans="2:7" ht="15" customHeight="1">
      <c r="B31" s="8" t="s">
        <v>21</v>
      </c>
      <c r="C31" s="14">
        <f>SUMIFS('Datos (aux)'!L2:L61,'Datos (aux)'!$P$2:$P$61,7)+SUMIFS('Datos (aux)'!M2:M61,'Datos (aux)'!$P$2:$P$61,7)+SUMIFS('Datos (aux)'!N2:N61,'Datos (aux)'!$P$2:$P$61,7)+SUMIFS('Datos (aux)'!O2:O61,'Datos (aux)'!$P$2:$P$61,7)</f>
        <v>24500</v>
      </c>
    </row>
    <row r="32" spans="2:7" ht="15" customHeight="1">
      <c r="B32" s="8" t="s">
        <v>23</v>
      </c>
      <c r="C32" s="14">
        <f>SUMIFS('Datos (aux)'!L2:L61,'Datos (aux)'!$P$2:$P$61,8)+SUMIFS('Datos (aux)'!M2:M61,'Datos (aux)'!$P$2:$P$61,8)+SUMIFS('Datos (aux)'!N2:N61,'Datos (aux)'!$P$2:$P$61,8)+SUMIFS('Datos (aux)'!O2:O61,'Datos (aux)'!$P$2:$P$61,8)</f>
        <v>0</v>
      </c>
    </row>
    <row r="33" spans="2:3" ht="15" customHeight="1">
      <c r="B33" s="10" t="s">
        <v>40</v>
      </c>
      <c r="C33" s="18">
        <f>SUM(C25:C32)</f>
        <v>58500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61"/>
  <sheetViews>
    <sheetView zoomScaleNormal="100" workbookViewId="0">
      <pane ySplit="1" topLeftCell="A2" activePane="bottomLeft" state="frozen"/>
      <selection pane="bottomLeft"/>
    </sheetView>
  </sheetViews>
  <sheetFormatPr defaultColWidth="8.5703125" defaultRowHeight="14.45"/>
  <cols>
    <col min="1" max="1" width="6" customWidth="1"/>
    <col min="2" max="2" width="20" customWidth="1"/>
    <col min="3" max="3" width="26" customWidth="1"/>
    <col min="4" max="4" width="30" customWidth="1"/>
    <col min="5" max="5" width="46" customWidth="1"/>
    <col min="6" max="6" width="22" customWidth="1"/>
    <col min="7" max="7" width="20" customWidth="1"/>
    <col min="8" max="8" width="10" customWidth="1"/>
    <col min="9" max="9" width="13" customWidth="1"/>
    <col min="10" max="10" width="11" customWidth="1"/>
    <col min="11" max="11" width="16" customWidth="1"/>
    <col min="12" max="12" width="9" customWidth="1"/>
    <col min="13" max="13" width="11" customWidth="1"/>
    <col min="14" max="14" width="16" customWidth="1"/>
    <col min="15" max="15" width="13" customWidth="1"/>
  </cols>
  <sheetData>
    <row r="1" spans="1:15" ht="42" customHeight="1">
      <c r="A1" s="21" t="s">
        <v>60</v>
      </c>
      <c r="B1" s="21" t="s">
        <v>61</v>
      </c>
      <c r="C1" s="21" t="s">
        <v>62</v>
      </c>
      <c r="D1" s="21" t="s">
        <v>63</v>
      </c>
      <c r="E1" s="21" t="s">
        <v>64</v>
      </c>
      <c r="F1" s="21" t="s">
        <v>24</v>
      </c>
      <c r="G1" s="21" t="s">
        <v>65</v>
      </c>
      <c r="H1" s="21" t="s">
        <v>66</v>
      </c>
      <c r="I1" s="21" t="s">
        <v>67</v>
      </c>
      <c r="J1" s="21" t="s">
        <v>68</v>
      </c>
      <c r="K1" s="21" t="s">
        <v>69</v>
      </c>
      <c r="L1" s="21" t="s">
        <v>70</v>
      </c>
      <c r="M1" s="21" t="s">
        <v>71</v>
      </c>
      <c r="N1" s="21" t="s">
        <v>72</v>
      </c>
      <c r="O1" s="21" t="s">
        <v>73</v>
      </c>
    </row>
    <row r="2" spans="1:15" ht="63.75" customHeight="1">
      <c r="A2" s="22" t="s">
        <v>74</v>
      </c>
      <c r="B2" s="22" t="s">
        <v>55</v>
      </c>
      <c r="C2" s="22" t="s">
        <v>75</v>
      </c>
      <c r="D2" s="22" t="s">
        <v>76</v>
      </c>
      <c r="E2" s="22" t="s">
        <v>77</v>
      </c>
      <c r="F2" s="22" t="s">
        <v>78</v>
      </c>
      <c r="G2" s="22" t="s">
        <v>41</v>
      </c>
      <c r="H2" s="22" t="s">
        <v>79</v>
      </c>
      <c r="I2" s="22" t="s">
        <v>28</v>
      </c>
      <c r="J2" s="22">
        <v>16</v>
      </c>
      <c r="K2" s="22" t="s">
        <v>80</v>
      </c>
      <c r="L2" s="22">
        <v>4</v>
      </c>
      <c r="M2" s="22" t="s">
        <v>81</v>
      </c>
      <c r="N2" s="22"/>
      <c r="O2" s="23">
        <v>0</v>
      </c>
    </row>
    <row r="3" spans="1:15" ht="32.25" customHeight="1">
      <c r="A3" s="22" t="s">
        <v>82</v>
      </c>
      <c r="B3" s="22" t="s">
        <v>55</v>
      </c>
      <c r="C3" s="22" t="s">
        <v>75</v>
      </c>
      <c r="D3" s="22" t="s">
        <v>83</v>
      </c>
      <c r="E3" s="22" t="s">
        <v>84</v>
      </c>
      <c r="F3" s="22" t="s">
        <v>85</v>
      </c>
      <c r="G3" s="22" t="s">
        <v>41</v>
      </c>
      <c r="H3" s="22" t="s">
        <v>79</v>
      </c>
      <c r="I3" s="22" t="s">
        <v>28</v>
      </c>
      <c r="J3" s="22">
        <v>6</v>
      </c>
      <c r="K3" s="22" t="s">
        <v>86</v>
      </c>
      <c r="L3" s="22">
        <v>2</v>
      </c>
      <c r="M3" s="22" t="s">
        <v>81</v>
      </c>
      <c r="N3" s="22"/>
      <c r="O3" s="23">
        <v>0</v>
      </c>
    </row>
    <row r="4" spans="1:15" ht="84.75" customHeight="1">
      <c r="A4" s="22" t="s">
        <v>87</v>
      </c>
      <c r="B4" s="22" t="s">
        <v>55</v>
      </c>
      <c r="C4" s="22" t="s">
        <v>75</v>
      </c>
      <c r="D4" s="22" t="s">
        <v>88</v>
      </c>
      <c r="E4" s="22" t="s">
        <v>89</v>
      </c>
      <c r="F4" s="22" t="s">
        <v>90</v>
      </c>
      <c r="G4" s="22" t="s">
        <v>41</v>
      </c>
      <c r="H4" s="22" t="s">
        <v>91</v>
      </c>
      <c r="I4" s="22" t="s">
        <v>92</v>
      </c>
      <c r="J4" s="22">
        <v>32</v>
      </c>
      <c r="K4" s="22" t="s">
        <v>93</v>
      </c>
      <c r="L4" s="22">
        <v>10</v>
      </c>
      <c r="M4" s="22" t="s">
        <v>81</v>
      </c>
      <c r="N4" s="22"/>
      <c r="O4" s="23">
        <v>0</v>
      </c>
    </row>
    <row r="5" spans="1:15" ht="53.25" customHeight="1">
      <c r="A5" s="22" t="s">
        <v>94</v>
      </c>
      <c r="B5" s="22" t="s">
        <v>55</v>
      </c>
      <c r="C5" s="22" t="s">
        <v>75</v>
      </c>
      <c r="D5" s="22" t="s">
        <v>95</v>
      </c>
      <c r="E5" s="22" t="s">
        <v>96</v>
      </c>
      <c r="F5" s="22" t="s">
        <v>90</v>
      </c>
      <c r="G5" s="22" t="s">
        <v>41</v>
      </c>
      <c r="H5" s="22" t="s">
        <v>91</v>
      </c>
      <c r="I5" s="22" t="s">
        <v>92</v>
      </c>
      <c r="J5" s="22">
        <v>28</v>
      </c>
      <c r="K5" s="22" t="s">
        <v>97</v>
      </c>
      <c r="L5" s="22">
        <v>8</v>
      </c>
      <c r="M5" s="22" t="s">
        <v>81</v>
      </c>
      <c r="N5" s="22"/>
      <c r="O5" s="23">
        <v>0</v>
      </c>
    </row>
    <row r="6" spans="1:15" ht="42.75" customHeight="1">
      <c r="A6" s="22" t="s">
        <v>98</v>
      </c>
      <c r="B6" s="22" t="s">
        <v>55</v>
      </c>
      <c r="C6" s="22" t="s">
        <v>75</v>
      </c>
      <c r="D6" s="22" t="s">
        <v>99</v>
      </c>
      <c r="E6" s="22" t="s">
        <v>100</v>
      </c>
      <c r="F6" s="22" t="s">
        <v>90</v>
      </c>
      <c r="G6" s="22" t="s">
        <v>41</v>
      </c>
      <c r="H6" s="22" t="s">
        <v>91</v>
      </c>
      <c r="I6" s="22" t="s">
        <v>92</v>
      </c>
      <c r="J6" s="22">
        <v>20</v>
      </c>
      <c r="K6" s="22" t="s">
        <v>86</v>
      </c>
      <c r="L6" s="22">
        <v>6</v>
      </c>
      <c r="M6" s="22" t="s">
        <v>81</v>
      </c>
      <c r="N6" s="22"/>
      <c r="O6" s="23">
        <v>0</v>
      </c>
    </row>
    <row r="7" spans="1:15" ht="63.75" customHeight="1">
      <c r="A7" s="22" t="s">
        <v>101</v>
      </c>
      <c r="B7" s="22" t="s">
        <v>55</v>
      </c>
      <c r="C7" s="22" t="s">
        <v>102</v>
      </c>
      <c r="D7" s="22" t="s">
        <v>103</v>
      </c>
      <c r="E7" s="22" t="s">
        <v>104</v>
      </c>
      <c r="F7" s="22" t="s">
        <v>78</v>
      </c>
      <c r="G7" s="22" t="s">
        <v>41</v>
      </c>
      <c r="H7" s="22" t="s">
        <v>91</v>
      </c>
      <c r="I7" s="22" t="s">
        <v>92</v>
      </c>
      <c r="J7" s="22">
        <v>32</v>
      </c>
      <c r="K7" s="22" t="s">
        <v>105</v>
      </c>
      <c r="L7" s="22">
        <v>0</v>
      </c>
      <c r="M7" s="22" t="s">
        <v>81</v>
      </c>
      <c r="N7" s="22"/>
      <c r="O7" s="23">
        <v>0</v>
      </c>
    </row>
    <row r="8" spans="1:15" ht="32.25" customHeight="1">
      <c r="A8" s="22" t="s">
        <v>106</v>
      </c>
      <c r="B8" s="22" t="s">
        <v>55</v>
      </c>
      <c r="C8" s="22" t="s">
        <v>102</v>
      </c>
      <c r="D8" s="22" t="s">
        <v>107</v>
      </c>
      <c r="E8" s="22" t="s">
        <v>108</v>
      </c>
      <c r="F8" s="22" t="s">
        <v>109</v>
      </c>
      <c r="G8" s="22" t="s">
        <v>41</v>
      </c>
      <c r="H8" s="22" t="s">
        <v>91</v>
      </c>
      <c r="I8" s="22" t="s">
        <v>92</v>
      </c>
      <c r="J8" s="22">
        <v>80</v>
      </c>
      <c r="K8" s="22" t="s">
        <v>105</v>
      </c>
      <c r="L8" s="22">
        <v>0</v>
      </c>
      <c r="M8" s="22" t="s">
        <v>81</v>
      </c>
      <c r="N8" s="22"/>
      <c r="O8" s="23">
        <v>0</v>
      </c>
    </row>
    <row r="9" spans="1:15" ht="32.25" customHeight="1">
      <c r="A9" s="22" t="s">
        <v>110</v>
      </c>
      <c r="B9" s="22" t="s">
        <v>55</v>
      </c>
      <c r="C9" s="22" t="s">
        <v>102</v>
      </c>
      <c r="D9" s="22" t="s">
        <v>111</v>
      </c>
      <c r="E9" s="22" t="s">
        <v>112</v>
      </c>
      <c r="F9" s="22" t="s">
        <v>113</v>
      </c>
      <c r="G9" s="22" t="s">
        <v>41</v>
      </c>
      <c r="H9" s="22" t="s">
        <v>91</v>
      </c>
      <c r="I9" s="22" t="s">
        <v>92</v>
      </c>
      <c r="J9" s="22">
        <v>16</v>
      </c>
      <c r="K9" s="22" t="s">
        <v>105</v>
      </c>
      <c r="L9" s="22">
        <v>0</v>
      </c>
      <c r="M9" s="22" t="s">
        <v>81</v>
      </c>
      <c r="N9" s="22"/>
      <c r="O9" s="23">
        <v>0</v>
      </c>
    </row>
    <row r="10" spans="1:15" ht="63.75" customHeight="1">
      <c r="A10" s="22" t="s">
        <v>114</v>
      </c>
      <c r="B10" s="22" t="s">
        <v>55</v>
      </c>
      <c r="C10" s="22" t="s">
        <v>115</v>
      </c>
      <c r="D10" s="22" t="s">
        <v>116</v>
      </c>
      <c r="E10" s="22" t="s">
        <v>117</v>
      </c>
      <c r="F10" s="22" t="s">
        <v>118</v>
      </c>
      <c r="G10" s="22" t="s">
        <v>41</v>
      </c>
      <c r="H10" s="22" t="s">
        <v>79</v>
      </c>
      <c r="I10" s="22" t="s">
        <v>29</v>
      </c>
      <c r="J10" s="22">
        <v>28</v>
      </c>
      <c r="K10" s="22" t="s">
        <v>80</v>
      </c>
      <c r="L10" s="22">
        <v>12</v>
      </c>
      <c r="M10" s="22" t="s">
        <v>81</v>
      </c>
      <c r="N10" s="22"/>
      <c r="O10" s="23">
        <v>0</v>
      </c>
    </row>
    <row r="11" spans="1:15" ht="84.75" customHeight="1">
      <c r="A11" s="24" t="s">
        <v>119</v>
      </c>
      <c r="B11" s="24" t="s">
        <v>56</v>
      </c>
      <c r="C11" s="24" t="s">
        <v>120</v>
      </c>
      <c r="D11" s="24" t="s">
        <v>121</v>
      </c>
      <c r="E11" s="24" t="s">
        <v>122</v>
      </c>
      <c r="F11" s="24" t="s">
        <v>109</v>
      </c>
      <c r="G11" s="24" t="s">
        <v>41</v>
      </c>
      <c r="H11" s="24" t="s">
        <v>79</v>
      </c>
      <c r="I11" s="24" t="s">
        <v>28</v>
      </c>
      <c r="J11" s="24">
        <v>12</v>
      </c>
      <c r="K11" s="24" t="s">
        <v>80</v>
      </c>
      <c r="L11" s="24">
        <v>8</v>
      </c>
      <c r="M11" s="24" t="s">
        <v>81</v>
      </c>
      <c r="N11" s="24"/>
      <c r="O11" s="25">
        <v>0</v>
      </c>
    </row>
    <row r="12" spans="1:15" ht="32.25" customHeight="1">
      <c r="A12" s="24" t="s">
        <v>123</v>
      </c>
      <c r="B12" s="24" t="s">
        <v>56</v>
      </c>
      <c r="C12" s="24" t="s">
        <v>120</v>
      </c>
      <c r="D12" s="24" t="s">
        <v>124</v>
      </c>
      <c r="E12" s="24" t="s">
        <v>125</v>
      </c>
      <c r="F12" s="24" t="s">
        <v>126</v>
      </c>
      <c r="G12" s="24" t="s">
        <v>41</v>
      </c>
      <c r="H12" s="24" t="s">
        <v>79</v>
      </c>
      <c r="I12" s="24" t="s">
        <v>29</v>
      </c>
      <c r="J12" s="24">
        <v>20</v>
      </c>
      <c r="K12" s="24" t="s">
        <v>80</v>
      </c>
      <c r="L12" s="24">
        <v>10</v>
      </c>
      <c r="M12" s="24" t="s">
        <v>81</v>
      </c>
      <c r="N12" s="24"/>
      <c r="O12" s="25">
        <v>0</v>
      </c>
    </row>
    <row r="13" spans="1:15" ht="53.25" customHeight="1">
      <c r="A13" s="24" t="s">
        <v>127</v>
      </c>
      <c r="B13" s="24" t="s">
        <v>56</v>
      </c>
      <c r="C13" s="24" t="s">
        <v>120</v>
      </c>
      <c r="D13" s="24" t="s">
        <v>128</v>
      </c>
      <c r="E13" s="24" t="s">
        <v>129</v>
      </c>
      <c r="F13" s="24" t="s">
        <v>130</v>
      </c>
      <c r="G13" s="24" t="s">
        <v>41</v>
      </c>
      <c r="H13" s="24" t="s">
        <v>79</v>
      </c>
      <c r="I13" s="24" t="s">
        <v>29</v>
      </c>
      <c r="J13" s="24">
        <v>12</v>
      </c>
      <c r="K13" s="24" t="s">
        <v>105</v>
      </c>
      <c r="L13" s="24">
        <v>0</v>
      </c>
      <c r="M13" s="24" t="s">
        <v>81</v>
      </c>
      <c r="N13" s="24"/>
      <c r="O13" s="25">
        <v>0</v>
      </c>
    </row>
    <row r="14" spans="1:15" ht="42.75" customHeight="1">
      <c r="A14" s="24" t="s">
        <v>131</v>
      </c>
      <c r="B14" s="24" t="s">
        <v>56</v>
      </c>
      <c r="C14" s="24" t="s">
        <v>132</v>
      </c>
      <c r="D14" s="24" t="s">
        <v>133</v>
      </c>
      <c r="E14" s="24" t="s">
        <v>134</v>
      </c>
      <c r="F14" s="24" t="s">
        <v>135</v>
      </c>
      <c r="G14" s="24" t="s">
        <v>41</v>
      </c>
      <c r="H14" s="24" t="s">
        <v>91</v>
      </c>
      <c r="I14" s="24" t="s">
        <v>92</v>
      </c>
      <c r="J14" s="24">
        <v>16</v>
      </c>
      <c r="K14" s="24" t="s">
        <v>105</v>
      </c>
      <c r="L14" s="24">
        <v>0</v>
      </c>
      <c r="M14" s="24" t="s">
        <v>81</v>
      </c>
      <c r="N14" s="24"/>
      <c r="O14" s="25">
        <v>0</v>
      </c>
    </row>
    <row r="15" spans="1:15" ht="42.75" customHeight="1">
      <c r="A15" s="24" t="s">
        <v>136</v>
      </c>
      <c r="B15" s="24" t="s">
        <v>56</v>
      </c>
      <c r="C15" s="24" t="s">
        <v>137</v>
      </c>
      <c r="D15" s="24" t="s">
        <v>138</v>
      </c>
      <c r="E15" s="24" t="s">
        <v>139</v>
      </c>
      <c r="F15" s="24" t="s">
        <v>118</v>
      </c>
      <c r="G15" s="24" t="s">
        <v>41</v>
      </c>
      <c r="H15" s="24" t="s">
        <v>91</v>
      </c>
      <c r="I15" s="24" t="s">
        <v>92</v>
      </c>
      <c r="J15" s="24">
        <v>20</v>
      </c>
      <c r="K15" s="24" t="s">
        <v>105</v>
      </c>
      <c r="L15" s="24">
        <v>0</v>
      </c>
      <c r="M15" s="24" t="s">
        <v>81</v>
      </c>
      <c r="N15" s="24"/>
      <c r="O15" s="25">
        <v>0</v>
      </c>
    </row>
    <row r="16" spans="1:15" ht="42.75" customHeight="1">
      <c r="A16" s="24" t="s">
        <v>140</v>
      </c>
      <c r="B16" s="24" t="s">
        <v>56</v>
      </c>
      <c r="C16" s="24" t="s">
        <v>141</v>
      </c>
      <c r="D16" s="24" t="s">
        <v>142</v>
      </c>
      <c r="E16" s="24" t="s">
        <v>143</v>
      </c>
      <c r="F16" s="24" t="s">
        <v>130</v>
      </c>
      <c r="G16" s="24" t="s">
        <v>41</v>
      </c>
      <c r="H16" s="24" t="s">
        <v>79</v>
      </c>
      <c r="I16" s="24" t="s">
        <v>30</v>
      </c>
      <c r="J16" s="24">
        <v>16</v>
      </c>
      <c r="K16" s="24" t="s">
        <v>144</v>
      </c>
      <c r="L16" s="24">
        <v>6</v>
      </c>
      <c r="M16" s="24" t="s">
        <v>81</v>
      </c>
      <c r="N16" s="24"/>
      <c r="O16" s="25">
        <v>0</v>
      </c>
    </row>
    <row r="17" spans="1:15" ht="53.25" customHeight="1">
      <c r="A17" s="24" t="s">
        <v>145</v>
      </c>
      <c r="B17" s="24" t="s">
        <v>56</v>
      </c>
      <c r="C17" s="24" t="s">
        <v>141</v>
      </c>
      <c r="D17" s="24" t="s">
        <v>146</v>
      </c>
      <c r="E17" s="24" t="s">
        <v>147</v>
      </c>
      <c r="F17" s="24" t="s">
        <v>126</v>
      </c>
      <c r="G17" s="24" t="s">
        <v>41</v>
      </c>
      <c r="H17" s="24" t="s">
        <v>79</v>
      </c>
      <c r="I17" s="24" t="s">
        <v>31</v>
      </c>
      <c r="J17" s="24">
        <v>52</v>
      </c>
      <c r="K17" s="24" t="s">
        <v>144</v>
      </c>
      <c r="L17" s="24">
        <v>10</v>
      </c>
      <c r="M17" s="24" t="s">
        <v>81</v>
      </c>
      <c r="N17" s="24"/>
      <c r="O17" s="25">
        <v>0</v>
      </c>
    </row>
    <row r="18" spans="1:15" ht="42.75" customHeight="1">
      <c r="A18" s="24" t="s">
        <v>148</v>
      </c>
      <c r="B18" s="24" t="s">
        <v>56</v>
      </c>
      <c r="C18" s="24" t="s">
        <v>141</v>
      </c>
      <c r="D18" s="24" t="s">
        <v>149</v>
      </c>
      <c r="E18" s="24" t="s">
        <v>150</v>
      </c>
      <c r="F18" s="24" t="s">
        <v>151</v>
      </c>
      <c r="G18" s="24" t="s">
        <v>41</v>
      </c>
      <c r="H18" s="24" t="s">
        <v>91</v>
      </c>
      <c r="I18" s="24" t="s">
        <v>92</v>
      </c>
      <c r="J18" s="24">
        <v>12</v>
      </c>
      <c r="K18" s="24" t="s">
        <v>105</v>
      </c>
      <c r="L18" s="24">
        <v>0</v>
      </c>
      <c r="M18" s="24" t="s">
        <v>81</v>
      </c>
      <c r="N18" s="24"/>
      <c r="O18" s="25">
        <v>0</v>
      </c>
    </row>
    <row r="19" spans="1:15" ht="42.75" customHeight="1">
      <c r="A19" s="24" t="s">
        <v>152</v>
      </c>
      <c r="B19" s="24" t="s">
        <v>56</v>
      </c>
      <c r="C19" s="24" t="s">
        <v>141</v>
      </c>
      <c r="D19" s="24" t="s">
        <v>153</v>
      </c>
      <c r="E19" s="24" t="s">
        <v>154</v>
      </c>
      <c r="F19" s="24" t="s">
        <v>113</v>
      </c>
      <c r="G19" s="24" t="s">
        <v>41</v>
      </c>
      <c r="H19" s="24" t="s">
        <v>79</v>
      </c>
      <c r="I19" s="24" t="s">
        <v>31</v>
      </c>
      <c r="J19" s="24">
        <v>32</v>
      </c>
      <c r="K19" s="24" t="s">
        <v>80</v>
      </c>
      <c r="L19" s="24">
        <v>10</v>
      </c>
      <c r="M19" s="24" t="s">
        <v>81</v>
      </c>
      <c r="N19" s="24"/>
      <c r="O19" s="25">
        <v>0</v>
      </c>
    </row>
    <row r="20" spans="1:15" ht="32.25" customHeight="1">
      <c r="A20" s="22" t="s">
        <v>155</v>
      </c>
      <c r="B20" s="22" t="s">
        <v>14</v>
      </c>
      <c r="C20" s="22" t="s">
        <v>156</v>
      </c>
      <c r="D20" s="22" t="s">
        <v>157</v>
      </c>
      <c r="E20" s="22" t="s">
        <v>158</v>
      </c>
      <c r="F20" s="22" t="s">
        <v>159</v>
      </c>
      <c r="G20" s="22" t="s">
        <v>41</v>
      </c>
      <c r="H20" s="22" t="s">
        <v>79</v>
      </c>
      <c r="I20" s="22" t="s">
        <v>28</v>
      </c>
      <c r="J20" s="22">
        <v>12</v>
      </c>
      <c r="K20" s="22" t="s">
        <v>105</v>
      </c>
      <c r="L20" s="22">
        <v>0</v>
      </c>
      <c r="M20" s="22" t="s">
        <v>160</v>
      </c>
      <c r="N20" s="26" t="s">
        <v>161</v>
      </c>
      <c r="O20" s="23">
        <v>1200</v>
      </c>
    </row>
    <row r="21" spans="1:15" ht="42.75" customHeight="1">
      <c r="A21" s="22" t="s">
        <v>162</v>
      </c>
      <c r="B21" s="22" t="s">
        <v>14</v>
      </c>
      <c r="C21" s="22" t="s">
        <v>156</v>
      </c>
      <c r="D21" s="22" t="s">
        <v>163</v>
      </c>
      <c r="E21" s="22" t="s">
        <v>164</v>
      </c>
      <c r="F21" s="22" t="s">
        <v>159</v>
      </c>
      <c r="G21" s="22" t="s">
        <v>41</v>
      </c>
      <c r="H21" s="22" t="s">
        <v>79</v>
      </c>
      <c r="I21" s="22" t="s">
        <v>29</v>
      </c>
      <c r="J21" s="22">
        <v>10</v>
      </c>
      <c r="K21" s="22" t="s">
        <v>105</v>
      </c>
      <c r="L21" s="22">
        <v>0</v>
      </c>
      <c r="M21" s="22" t="s">
        <v>160</v>
      </c>
      <c r="N21" s="26" t="s">
        <v>161</v>
      </c>
      <c r="O21" s="23">
        <v>900</v>
      </c>
    </row>
    <row r="22" spans="1:15" ht="32.25" customHeight="1">
      <c r="A22" s="22" t="s">
        <v>165</v>
      </c>
      <c r="B22" s="22" t="s">
        <v>14</v>
      </c>
      <c r="C22" s="22" t="s">
        <v>156</v>
      </c>
      <c r="D22" s="22" t="s">
        <v>166</v>
      </c>
      <c r="E22" s="22" t="s">
        <v>167</v>
      </c>
      <c r="F22" s="22" t="s">
        <v>159</v>
      </c>
      <c r="G22" s="22" t="s">
        <v>41</v>
      </c>
      <c r="H22" s="22" t="s">
        <v>79</v>
      </c>
      <c r="I22" s="22" t="s">
        <v>28</v>
      </c>
      <c r="J22" s="22">
        <v>12</v>
      </c>
      <c r="K22" s="22" t="s">
        <v>105</v>
      </c>
      <c r="L22" s="22">
        <v>0</v>
      </c>
      <c r="M22" s="22" t="s">
        <v>160</v>
      </c>
      <c r="N22" s="26" t="s">
        <v>161</v>
      </c>
      <c r="O22" s="23">
        <v>1200</v>
      </c>
    </row>
    <row r="23" spans="1:15" ht="42.75" customHeight="1">
      <c r="A23" s="22" t="s">
        <v>168</v>
      </c>
      <c r="B23" s="22" t="s">
        <v>14</v>
      </c>
      <c r="C23" s="22" t="s">
        <v>169</v>
      </c>
      <c r="D23" s="22" t="s">
        <v>170</v>
      </c>
      <c r="E23" s="22" t="s">
        <v>171</v>
      </c>
      <c r="F23" s="22" t="s">
        <v>109</v>
      </c>
      <c r="G23" s="22" t="s">
        <v>41</v>
      </c>
      <c r="H23" s="22" t="s">
        <v>79</v>
      </c>
      <c r="I23" s="22" t="s">
        <v>28</v>
      </c>
      <c r="J23" s="22">
        <v>24</v>
      </c>
      <c r="K23" s="22" t="s">
        <v>105</v>
      </c>
      <c r="L23" s="22">
        <v>0</v>
      </c>
      <c r="M23" s="22" t="s">
        <v>160</v>
      </c>
      <c r="N23" s="27" t="s">
        <v>172</v>
      </c>
      <c r="O23" s="23">
        <v>3500</v>
      </c>
    </row>
    <row r="24" spans="1:15" ht="42.75" customHeight="1">
      <c r="A24" s="22" t="s">
        <v>173</v>
      </c>
      <c r="B24" s="22" t="s">
        <v>14</v>
      </c>
      <c r="C24" s="22" t="s">
        <v>169</v>
      </c>
      <c r="D24" s="22" t="s">
        <v>174</v>
      </c>
      <c r="E24" s="22" t="s">
        <v>175</v>
      </c>
      <c r="F24" s="22" t="s">
        <v>78</v>
      </c>
      <c r="G24" s="22" t="s">
        <v>41</v>
      </c>
      <c r="H24" s="22" t="s">
        <v>91</v>
      </c>
      <c r="I24" s="22" t="s">
        <v>92</v>
      </c>
      <c r="J24" s="22">
        <v>28</v>
      </c>
      <c r="K24" s="22" t="s">
        <v>105</v>
      </c>
      <c r="L24" s="22">
        <v>0</v>
      </c>
      <c r="M24" s="22" t="s">
        <v>81</v>
      </c>
      <c r="N24" s="22"/>
      <c r="O24" s="23">
        <v>0</v>
      </c>
    </row>
    <row r="25" spans="1:15" ht="32.25" customHeight="1">
      <c r="A25" s="22" t="s">
        <v>176</v>
      </c>
      <c r="B25" s="22" t="s">
        <v>14</v>
      </c>
      <c r="C25" s="22" t="s">
        <v>169</v>
      </c>
      <c r="D25" s="22" t="s">
        <v>177</v>
      </c>
      <c r="E25" s="22" t="s">
        <v>178</v>
      </c>
      <c r="F25" s="22" t="s">
        <v>159</v>
      </c>
      <c r="G25" s="22" t="s">
        <v>41</v>
      </c>
      <c r="H25" s="22" t="s">
        <v>91</v>
      </c>
      <c r="I25" s="22" t="s">
        <v>92</v>
      </c>
      <c r="J25" s="22">
        <v>20</v>
      </c>
      <c r="K25" s="22" t="s">
        <v>105</v>
      </c>
      <c r="L25" s="22">
        <v>0</v>
      </c>
      <c r="M25" s="22" t="s">
        <v>81</v>
      </c>
      <c r="N25" s="22"/>
      <c r="O25" s="23">
        <v>0</v>
      </c>
    </row>
    <row r="26" spans="1:15" ht="42.75" customHeight="1">
      <c r="A26" s="22" t="s">
        <v>179</v>
      </c>
      <c r="B26" s="22" t="s">
        <v>14</v>
      </c>
      <c r="C26" s="22" t="s">
        <v>180</v>
      </c>
      <c r="D26" s="22" t="s">
        <v>181</v>
      </c>
      <c r="E26" s="22" t="s">
        <v>182</v>
      </c>
      <c r="F26" s="22" t="s">
        <v>113</v>
      </c>
      <c r="G26" s="22" t="s">
        <v>41</v>
      </c>
      <c r="H26" s="22" t="s">
        <v>91</v>
      </c>
      <c r="I26" s="22" t="s">
        <v>92</v>
      </c>
      <c r="J26" s="22">
        <v>12</v>
      </c>
      <c r="K26" s="22" t="s">
        <v>105</v>
      </c>
      <c r="L26" s="22">
        <v>0</v>
      </c>
      <c r="M26" s="22" t="s">
        <v>81</v>
      </c>
      <c r="N26" s="22"/>
      <c r="O26" s="23">
        <v>0</v>
      </c>
    </row>
    <row r="27" spans="1:15" ht="32.25" customHeight="1">
      <c r="A27" s="22" t="s">
        <v>183</v>
      </c>
      <c r="B27" s="22" t="s">
        <v>14</v>
      </c>
      <c r="C27" s="22" t="s">
        <v>180</v>
      </c>
      <c r="D27" s="22" t="s">
        <v>184</v>
      </c>
      <c r="E27" s="22" t="s">
        <v>185</v>
      </c>
      <c r="F27" s="22" t="s">
        <v>159</v>
      </c>
      <c r="G27" s="22" t="s">
        <v>41</v>
      </c>
      <c r="H27" s="22" t="s">
        <v>79</v>
      </c>
      <c r="I27" s="22" t="s">
        <v>30</v>
      </c>
      <c r="J27" s="22">
        <v>10</v>
      </c>
      <c r="K27" s="22" t="s">
        <v>105</v>
      </c>
      <c r="L27" s="22">
        <v>0</v>
      </c>
      <c r="M27" s="22" t="s">
        <v>81</v>
      </c>
      <c r="N27" s="22"/>
      <c r="O27" s="23">
        <v>0</v>
      </c>
    </row>
    <row r="28" spans="1:15" ht="42.75" customHeight="1">
      <c r="A28" s="22" t="s">
        <v>186</v>
      </c>
      <c r="B28" s="22" t="s">
        <v>14</v>
      </c>
      <c r="C28" s="22" t="s">
        <v>180</v>
      </c>
      <c r="D28" s="22" t="s">
        <v>187</v>
      </c>
      <c r="E28" s="22" t="s">
        <v>188</v>
      </c>
      <c r="F28" s="22" t="s">
        <v>159</v>
      </c>
      <c r="G28" s="22" t="s">
        <v>41</v>
      </c>
      <c r="H28" s="22" t="s">
        <v>79</v>
      </c>
      <c r="I28" s="22" t="s">
        <v>29</v>
      </c>
      <c r="J28" s="22">
        <v>12</v>
      </c>
      <c r="K28" s="22" t="s">
        <v>105</v>
      </c>
      <c r="L28" s="22">
        <v>0</v>
      </c>
      <c r="M28" s="22" t="s">
        <v>160</v>
      </c>
      <c r="N28" s="26" t="s">
        <v>161</v>
      </c>
      <c r="O28" s="23">
        <v>1200</v>
      </c>
    </row>
    <row r="29" spans="1:15" ht="32.25" customHeight="1">
      <c r="A29" s="22" t="s">
        <v>189</v>
      </c>
      <c r="B29" s="22" t="s">
        <v>14</v>
      </c>
      <c r="C29" s="22" t="s">
        <v>190</v>
      </c>
      <c r="D29" s="22" t="s">
        <v>191</v>
      </c>
      <c r="E29" s="22" t="s">
        <v>192</v>
      </c>
      <c r="F29" s="22" t="s">
        <v>159</v>
      </c>
      <c r="G29" s="22" t="s">
        <v>41</v>
      </c>
      <c r="H29" s="22" t="s">
        <v>91</v>
      </c>
      <c r="I29" s="22" t="s">
        <v>92</v>
      </c>
      <c r="J29" s="22">
        <v>12</v>
      </c>
      <c r="K29" s="22" t="s">
        <v>105</v>
      </c>
      <c r="L29" s="22">
        <v>0</v>
      </c>
      <c r="M29" s="22" t="s">
        <v>81</v>
      </c>
      <c r="N29" s="22"/>
      <c r="O29" s="23">
        <v>0</v>
      </c>
    </row>
    <row r="30" spans="1:15" ht="74.25" customHeight="1">
      <c r="A30" s="24" t="s">
        <v>193</v>
      </c>
      <c r="B30" s="24" t="s">
        <v>57</v>
      </c>
      <c r="C30" s="24" t="s">
        <v>194</v>
      </c>
      <c r="D30" s="24" t="s">
        <v>195</v>
      </c>
      <c r="E30" s="24" t="s">
        <v>196</v>
      </c>
      <c r="F30" s="24" t="s">
        <v>135</v>
      </c>
      <c r="G30" s="24" t="s">
        <v>41</v>
      </c>
      <c r="H30" s="24" t="s">
        <v>79</v>
      </c>
      <c r="I30" s="24" t="s">
        <v>28</v>
      </c>
      <c r="J30" s="24">
        <v>80</v>
      </c>
      <c r="K30" s="24" t="s">
        <v>197</v>
      </c>
      <c r="L30" s="24">
        <v>16</v>
      </c>
      <c r="M30" s="24" t="s">
        <v>160</v>
      </c>
      <c r="N30" s="28" t="s">
        <v>172</v>
      </c>
      <c r="O30" s="25">
        <v>12000</v>
      </c>
    </row>
    <row r="31" spans="1:15" ht="74.25" customHeight="1">
      <c r="A31" s="24" t="s">
        <v>198</v>
      </c>
      <c r="B31" s="24" t="s">
        <v>57</v>
      </c>
      <c r="C31" s="24" t="s">
        <v>194</v>
      </c>
      <c r="D31" s="24" t="s">
        <v>199</v>
      </c>
      <c r="E31" s="24" t="s">
        <v>200</v>
      </c>
      <c r="F31" s="24" t="s">
        <v>135</v>
      </c>
      <c r="G31" s="24" t="s">
        <v>41</v>
      </c>
      <c r="H31" s="24" t="s">
        <v>79</v>
      </c>
      <c r="I31" s="24" t="s">
        <v>28</v>
      </c>
      <c r="J31" s="24">
        <v>28</v>
      </c>
      <c r="K31" s="24" t="s">
        <v>197</v>
      </c>
      <c r="L31" s="24">
        <v>40</v>
      </c>
      <c r="M31" s="24" t="s">
        <v>81</v>
      </c>
      <c r="N31" s="24"/>
      <c r="O31" s="25">
        <v>0</v>
      </c>
    </row>
    <row r="32" spans="1:15" ht="42.75" customHeight="1">
      <c r="A32" s="24" t="s">
        <v>201</v>
      </c>
      <c r="B32" s="24" t="s">
        <v>57</v>
      </c>
      <c r="C32" s="24" t="s">
        <v>194</v>
      </c>
      <c r="D32" s="24" t="s">
        <v>202</v>
      </c>
      <c r="E32" s="24" t="s">
        <v>203</v>
      </c>
      <c r="F32" s="24" t="s">
        <v>130</v>
      </c>
      <c r="G32" s="24" t="s">
        <v>41</v>
      </c>
      <c r="H32" s="24" t="s">
        <v>79</v>
      </c>
      <c r="I32" s="24" t="s">
        <v>29</v>
      </c>
      <c r="J32" s="24">
        <v>20</v>
      </c>
      <c r="K32" s="24" t="s">
        <v>197</v>
      </c>
      <c r="L32" s="24">
        <v>100</v>
      </c>
      <c r="M32" s="24" t="s">
        <v>81</v>
      </c>
      <c r="N32" s="24"/>
      <c r="O32" s="25">
        <v>0</v>
      </c>
    </row>
    <row r="33" spans="1:15" ht="74.25" customHeight="1">
      <c r="A33" s="24" t="s">
        <v>204</v>
      </c>
      <c r="B33" s="24" t="s">
        <v>57</v>
      </c>
      <c r="C33" s="24" t="s">
        <v>194</v>
      </c>
      <c r="D33" s="24" t="s">
        <v>205</v>
      </c>
      <c r="E33" s="24" t="s">
        <v>206</v>
      </c>
      <c r="F33" s="24" t="s">
        <v>159</v>
      </c>
      <c r="G33" s="24" t="s">
        <v>41</v>
      </c>
      <c r="H33" s="24" t="s">
        <v>91</v>
      </c>
      <c r="I33" s="24" t="s">
        <v>92</v>
      </c>
      <c r="J33" s="24">
        <v>10</v>
      </c>
      <c r="K33" s="24" t="s">
        <v>105</v>
      </c>
      <c r="L33" s="24">
        <v>0</v>
      </c>
      <c r="M33" s="24" t="s">
        <v>160</v>
      </c>
      <c r="N33" s="29" t="s">
        <v>161</v>
      </c>
      <c r="O33" s="25">
        <v>600</v>
      </c>
    </row>
    <row r="34" spans="1:15" ht="74.25" customHeight="1">
      <c r="A34" s="24" t="s">
        <v>207</v>
      </c>
      <c r="B34" s="24" t="s">
        <v>57</v>
      </c>
      <c r="C34" s="24" t="s">
        <v>208</v>
      </c>
      <c r="D34" s="24" t="s">
        <v>209</v>
      </c>
      <c r="E34" s="24" t="s">
        <v>210</v>
      </c>
      <c r="F34" s="24" t="s">
        <v>130</v>
      </c>
      <c r="G34" s="24" t="s">
        <v>41</v>
      </c>
      <c r="H34" s="24" t="s">
        <v>79</v>
      </c>
      <c r="I34" s="24" t="s">
        <v>30</v>
      </c>
      <c r="J34" s="24">
        <v>16</v>
      </c>
      <c r="K34" s="24" t="s">
        <v>80</v>
      </c>
      <c r="L34" s="24">
        <v>8</v>
      </c>
      <c r="M34" s="24" t="s">
        <v>81</v>
      </c>
      <c r="N34" s="24"/>
      <c r="O34" s="25">
        <v>0</v>
      </c>
    </row>
    <row r="35" spans="1:15" ht="42.75" customHeight="1">
      <c r="A35" s="24" t="s">
        <v>211</v>
      </c>
      <c r="B35" s="24" t="s">
        <v>57</v>
      </c>
      <c r="C35" s="24" t="s">
        <v>212</v>
      </c>
      <c r="D35" s="24" t="s">
        <v>213</v>
      </c>
      <c r="E35" s="24" t="s">
        <v>214</v>
      </c>
      <c r="F35" s="24" t="s">
        <v>159</v>
      </c>
      <c r="G35" s="24" t="s">
        <v>41</v>
      </c>
      <c r="H35" s="24" t="s">
        <v>79</v>
      </c>
      <c r="I35" s="24" t="s">
        <v>29</v>
      </c>
      <c r="J35" s="24">
        <v>10</v>
      </c>
      <c r="K35" s="24" t="s">
        <v>80</v>
      </c>
      <c r="L35" s="24">
        <v>4</v>
      </c>
      <c r="M35" s="24" t="s">
        <v>160</v>
      </c>
      <c r="N35" s="29" t="s">
        <v>161</v>
      </c>
      <c r="O35" s="25">
        <v>600</v>
      </c>
    </row>
    <row r="36" spans="1:15" ht="32.25" customHeight="1">
      <c r="A36" s="24" t="s">
        <v>215</v>
      </c>
      <c r="B36" s="24" t="s">
        <v>57</v>
      </c>
      <c r="C36" s="24" t="s">
        <v>212</v>
      </c>
      <c r="D36" s="24" t="s">
        <v>216</v>
      </c>
      <c r="E36" s="24" t="s">
        <v>217</v>
      </c>
      <c r="F36" s="24" t="s">
        <v>159</v>
      </c>
      <c r="G36" s="24" t="s">
        <v>41</v>
      </c>
      <c r="H36" s="24" t="s">
        <v>91</v>
      </c>
      <c r="I36" s="24" t="s">
        <v>92</v>
      </c>
      <c r="J36" s="24">
        <v>10</v>
      </c>
      <c r="K36" s="24" t="s">
        <v>105</v>
      </c>
      <c r="L36" s="24">
        <v>0</v>
      </c>
      <c r="M36" s="24" t="s">
        <v>81</v>
      </c>
      <c r="N36" s="24"/>
      <c r="O36" s="25">
        <v>0</v>
      </c>
    </row>
    <row r="37" spans="1:15" ht="105.75" customHeight="1">
      <c r="A37" s="22" t="s">
        <v>218</v>
      </c>
      <c r="B37" s="22" t="s">
        <v>58</v>
      </c>
      <c r="C37" s="22" t="s">
        <v>219</v>
      </c>
      <c r="D37" s="22" t="s">
        <v>220</v>
      </c>
      <c r="E37" s="22" t="s">
        <v>221</v>
      </c>
      <c r="F37" s="22" t="s">
        <v>113</v>
      </c>
      <c r="G37" s="22" t="s">
        <v>41</v>
      </c>
      <c r="H37" s="22" t="s">
        <v>79</v>
      </c>
      <c r="I37" s="22" t="s">
        <v>28</v>
      </c>
      <c r="J37" s="22">
        <v>28</v>
      </c>
      <c r="K37" s="22" t="s">
        <v>80</v>
      </c>
      <c r="L37" s="22">
        <v>16</v>
      </c>
      <c r="M37" s="22" t="s">
        <v>160</v>
      </c>
      <c r="N37" s="27" t="s">
        <v>172</v>
      </c>
      <c r="O37" s="23">
        <v>6000</v>
      </c>
    </row>
    <row r="38" spans="1:15" ht="42.75" customHeight="1">
      <c r="A38" s="22" t="s">
        <v>222</v>
      </c>
      <c r="B38" s="22" t="s">
        <v>58</v>
      </c>
      <c r="C38" s="22" t="s">
        <v>219</v>
      </c>
      <c r="D38" s="22" t="s">
        <v>223</v>
      </c>
      <c r="E38" s="22" t="s">
        <v>224</v>
      </c>
      <c r="F38" s="22" t="s">
        <v>135</v>
      </c>
      <c r="G38" s="22" t="s">
        <v>41</v>
      </c>
      <c r="H38" s="22" t="s">
        <v>79</v>
      </c>
      <c r="I38" s="22" t="s">
        <v>28</v>
      </c>
      <c r="J38" s="22">
        <v>12</v>
      </c>
      <c r="K38" s="22" t="s">
        <v>105</v>
      </c>
      <c r="L38" s="22">
        <v>0</v>
      </c>
      <c r="M38" s="22" t="s">
        <v>81</v>
      </c>
      <c r="N38" s="22"/>
      <c r="O38" s="23">
        <v>0</v>
      </c>
    </row>
    <row r="39" spans="1:15" ht="53.25" customHeight="1">
      <c r="A39" s="22" t="s">
        <v>225</v>
      </c>
      <c r="B39" s="22" t="s">
        <v>58</v>
      </c>
      <c r="C39" s="22" t="s">
        <v>219</v>
      </c>
      <c r="D39" s="22" t="s">
        <v>226</v>
      </c>
      <c r="E39" s="22" t="s">
        <v>227</v>
      </c>
      <c r="F39" s="22" t="s">
        <v>159</v>
      </c>
      <c r="G39" s="22" t="s">
        <v>41</v>
      </c>
      <c r="H39" s="22" t="s">
        <v>79</v>
      </c>
      <c r="I39" s="22" t="s">
        <v>29</v>
      </c>
      <c r="J39" s="22">
        <v>20</v>
      </c>
      <c r="K39" s="22" t="s">
        <v>93</v>
      </c>
      <c r="L39" s="22">
        <v>8</v>
      </c>
      <c r="M39" s="22" t="s">
        <v>81</v>
      </c>
      <c r="N39" s="22"/>
      <c r="O39" s="23">
        <v>0</v>
      </c>
    </row>
    <row r="40" spans="1:15" ht="32.25" customHeight="1">
      <c r="A40" s="22" t="s">
        <v>228</v>
      </c>
      <c r="B40" s="22" t="s">
        <v>58</v>
      </c>
      <c r="C40" s="22" t="s">
        <v>229</v>
      </c>
      <c r="D40" s="22" t="s">
        <v>230</v>
      </c>
      <c r="E40" s="22" t="s">
        <v>231</v>
      </c>
      <c r="F40" s="22" t="s">
        <v>232</v>
      </c>
      <c r="G40" s="22" t="s">
        <v>41</v>
      </c>
      <c r="H40" s="22" t="s">
        <v>79</v>
      </c>
      <c r="I40" s="22" t="s">
        <v>30</v>
      </c>
      <c r="J40" s="22">
        <v>28</v>
      </c>
      <c r="K40" s="22" t="s">
        <v>80</v>
      </c>
      <c r="L40" s="22">
        <v>12</v>
      </c>
      <c r="M40" s="22" t="s">
        <v>81</v>
      </c>
      <c r="N40" s="22"/>
      <c r="O40" s="23">
        <v>0</v>
      </c>
    </row>
    <row r="41" spans="1:15" ht="21.75" customHeight="1">
      <c r="A41" s="22" t="s">
        <v>233</v>
      </c>
      <c r="B41" s="22" t="s">
        <v>58</v>
      </c>
      <c r="C41" s="22" t="s">
        <v>229</v>
      </c>
      <c r="D41" s="22" t="s">
        <v>234</v>
      </c>
      <c r="E41" s="22" t="s">
        <v>235</v>
      </c>
      <c r="F41" s="22" t="s">
        <v>236</v>
      </c>
      <c r="G41" s="22" t="s">
        <v>41</v>
      </c>
      <c r="H41" s="22" t="s">
        <v>79</v>
      </c>
      <c r="I41" s="22" t="s">
        <v>30</v>
      </c>
      <c r="J41" s="22">
        <v>10</v>
      </c>
      <c r="K41" s="22" t="s">
        <v>86</v>
      </c>
      <c r="L41" s="22">
        <v>4</v>
      </c>
      <c r="M41" s="22" t="s">
        <v>81</v>
      </c>
      <c r="N41" s="22"/>
      <c r="O41" s="23">
        <v>0</v>
      </c>
    </row>
    <row r="42" spans="1:15" ht="63.75" customHeight="1">
      <c r="A42" s="22" t="s">
        <v>237</v>
      </c>
      <c r="B42" s="22" t="s">
        <v>58</v>
      </c>
      <c r="C42" s="22" t="s">
        <v>238</v>
      </c>
      <c r="D42" s="22" t="s">
        <v>239</v>
      </c>
      <c r="E42" s="22" t="s">
        <v>240</v>
      </c>
      <c r="F42" s="22" t="s">
        <v>118</v>
      </c>
      <c r="G42" s="22" t="s">
        <v>41</v>
      </c>
      <c r="H42" s="22" t="s">
        <v>79</v>
      </c>
      <c r="I42" s="22" t="s">
        <v>30</v>
      </c>
      <c r="J42" s="22">
        <v>32</v>
      </c>
      <c r="K42" s="22" t="s">
        <v>241</v>
      </c>
      <c r="L42" s="22">
        <v>16</v>
      </c>
      <c r="M42" s="22" t="s">
        <v>160</v>
      </c>
      <c r="N42" s="27" t="s">
        <v>172</v>
      </c>
      <c r="O42" s="23">
        <v>5000</v>
      </c>
    </row>
    <row r="43" spans="1:15" ht="53.25" customHeight="1">
      <c r="A43" s="22" t="s">
        <v>242</v>
      </c>
      <c r="B43" s="22" t="s">
        <v>58</v>
      </c>
      <c r="C43" s="22" t="s">
        <v>238</v>
      </c>
      <c r="D43" s="22" t="s">
        <v>243</v>
      </c>
      <c r="E43" s="22" t="s">
        <v>244</v>
      </c>
      <c r="F43" s="22" t="s">
        <v>113</v>
      </c>
      <c r="G43" s="22" t="s">
        <v>41</v>
      </c>
      <c r="H43" s="22" t="s">
        <v>91</v>
      </c>
      <c r="I43" s="22" t="s">
        <v>92</v>
      </c>
      <c r="J43" s="22">
        <v>16</v>
      </c>
      <c r="K43" s="22" t="s">
        <v>105</v>
      </c>
      <c r="L43" s="22">
        <v>0</v>
      </c>
      <c r="M43" s="22" t="s">
        <v>81</v>
      </c>
      <c r="N43" s="22"/>
      <c r="O43" s="23">
        <v>0</v>
      </c>
    </row>
    <row r="44" spans="1:15" ht="42.75" customHeight="1">
      <c r="A44" s="24" t="s">
        <v>245</v>
      </c>
      <c r="B44" s="24" t="s">
        <v>59</v>
      </c>
      <c r="C44" s="24" t="s">
        <v>246</v>
      </c>
      <c r="D44" s="24" t="s">
        <v>247</v>
      </c>
      <c r="E44" s="24" t="s">
        <v>248</v>
      </c>
      <c r="F44" s="24" t="s">
        <v>151</v>
      </c>
      <c r="G44" s="24" t="s">
        <v>41</v>
      </c>
      <c r="H44" s="24" t="s">
        <v>79</v>
      </c>
      <c r="I44" s="24" t="s">
        <v>30</v>
      </c>
      <c r="J44" s="24">
        <v>16</v>
      </c>
      <c r="K44" s="24" t="s">
        <v>105</v>
      </c>
      <c r="L44" s="24">
        <v>0</v>
      </c>
      <c r="M44" s="24" t="s">
        <v>81</v>
      </c>
      <c r="N44" s="24"/>
      <c r="O44" s="25">
        <v>0</v>
      </c>
    </row>
    <row r="45" spans="1:15" ht="53.25" customHeight="1">
      <c r="A45" s="24" t="s">
        <v>249</v>
      </c>
      <c r="B45" s="24" t="s">
        <v>59</v>
      </c>
      <c r="C45" s="24" t="s">
        <v>246</v>
      </c>
      <c r="D45" s="24" t="s">
        <v>250</v>
      </c>
      <c r="E45" s="24" t="s">
        <v>251</v>
      </c>
      <c r="F45" s="24" t="s">
        <v>159</v>
      </c>
      <c r="G45" s="24" t="s">
        <v>41</v>
      </c>
      <c r="H45" s="24" t="s">
        <v>79</v>
      </c>
      <c r="I45" s="24" t="s">
        <v>29</v>
      </c>
      <c r="J45" s="24">
        <v>12</v>
      </c>
      <c r="K45" s="24" t="s">
        <v>105</v>
      </c>
      <c r="L45" s="24">
        <v>0</v>
      </c>
      <c r="M45" s="24" t="s">
        <v>81</v>
      </c>
      <c r="N45" s="24"/>
      <c r="O45" s="25">
        <v>0</v>
      </c>
    </row>
    <row r="46" spans="1:15" ht="157.5" customHeight="1">
      <c r="A46" s="24" t="s">
        <v>252</v>
      </c>
      <c r="B46" s="24" t="s">
        <v>59</v>
      </c>
      <c r="C46" s="24" t="s">
        <v>253</v>
      </c>
      <c r="D46" s="24" t="s">
        <v>254</v>
      </c>
      <c r="E46" s="24" t="s">
        <v>255</v>
      </c>
      <c r="F46" s="24" t="s">
        <v>126</v>
      </c>
      <c r="G46" s="24" t="s">
        <v>41</v>
      </c>
      <c r="H46" s="24" t="s">
        <v>79</v>
      </c>
      <c r="I46" s="24" t="s">
        <v>28</v>
      </c>
      <c r="J46" s="24">
        <v>20</v>
      </c>
      <c r="K46" s="24" t="s">
        <v>256</v>
      </c>
      <c r="L46" s="24">
        <v>12</v>
      </c>
      <c r="M46" s="24" t="s">
        <v>81</v>
      </c>
      <c r="N46" s="24"/>
      <c r="O46" s="25">
        <v>0</v>
      </c>
    </row>
    <row r="47" spans="1:15" ht="42.75" customHeight="1">
      <c r="A47" s="24" t="s">
        <v>257</v>
      </c>
      <c r="B47" s="24" t="s">
        <v>59</v>
      </c>
      <c r="C47" s="24" t="s">
        <v>253</v>
      </c>
      <c r="D47" s="24" t="s">
        <v>258</v>
      </c>
      <c r="E47" s="24" t="s">
        <v>259</v>
      </c>
      <c r="F47" s="24" t="s">
        <v>113</v>
      </c>
      <c r="G47" s="24" t="s">
        <v>41</v>
      </c>
      <c r="H47" s="24" t="s">
        <v>79</v>
      </c>
      <c r="I47" s="24" t="s">
        <v>30</v>
      </c>
      <c r="J47" s="24">
        <v>16</v>
      </c>
      <c r="K47" s="24" t="s">
        <v>256</v>
      </c>
      <c r="L47" s="24">
        <v>8</v>
      </c>
      <c r="M47" s="24" t="s">
        <v>81</v>
      </c>
      <c r="N47" s="24"/>
      <c r="O47" s="25">
        <v>0</v>
      </c>
    </row>
    <row r="48" spans="1:15" ht="42.75" customHeight="1">
      <c r="A48" s="24" t="s">
        <v>260</v>
      </c>
      <c r="B48" s="24" t="s">
        <v>59</v>
      </c>
      <c r="C48" s="24" t="s">
        <v>261</v>
      </c>
      <c r="D48" s="24" t="s">
        <v>262</v>
      </c>
      <c r="E48" s="24" t="s">
        <v>263</v>
      </c>
      <c r="F48" s="24" t="s">
        <v>118</v>
      </c>
      <c r="G48" s="24" t="s">
        <v>41</v>
      </c>
      <c r="H48" s="24" t="s">
        <v>79</v>
      </c>
      <c r="I48" s="24" t="s">
        <v>29</v>
      </c>
      <c r="J48" s="24">
        <v>16</v>
      </c>
      <c r="K48" s="24" t="s">
        <v>80</v>
      </c>
      <c r="L48" s="24">
        <v>8</v>
      </c>
      <c r="M48" s="24" t="s">
        <v>81</v>
      </c>
      <c r="N48" s="24"/>
      <c r="O48" s="25">
        <v>0</v>
      </c>
    </row>
    <row r="49" spans="1:15" ht="32.25" customHeight="1">
      <c r="A49" s="24" t="s">
        <v>264</v>
      </c>
      <c r="B49" s="24" t="s">
        <v>59</v>
      </c>
      <c r="C49" s="24" t="s">
        <v>261</v>
      </c>
      <c r="D49" s="24" t="s">
        <v>265</v>
      </c>
      <c r="E49" s="24" t="s">
        <v>266</v>
      </c>
      <c r="F49" s="24" t="s">
        <v>109</v>
      </c>
      <c r="G49" s="24" t="s">
        <v>41</v>
      </c>
      <c r="H49" s="24" t="s">
        <v>91</v>
      </c>
      <c r="I49" s="24" t="s">
        <v>92</v>
      </c>
      <c r="J49" s="24">
        <v>12</v>
      </c>
      <c r="K49" s="24" t="s">
        <v>105</v>
      </c>
      <c r="L49" s="24">
        <v>0</v>
      </c>
      <c r="M49" s="24" t="s">
        <v>81</v>
      </c>
      <c r="N49" s="24"/>
      <c r="O49" s="25">
        <v>0</v>
      </c>
    </row>
    <row r="50" spans="1:15" ht="53.25" customHeight="1">
      <c r="A50" s="22" t="s">
        <v>267</v>
      </c>
      <c r="B50" s="22" t="s">
        <v>21</v>
      </c>
      <c r="C50" s="22" t="s">
        <v>268</v>
      </c>
      <c r="D50" s="22" t="s">
        <v>269</v>
      </c>
      <c r="E50" s="22" t="s">
        <v>270</v>
      </c>
      <c r="F50" s="22" t="s">
        <v>135</v>
      </c>
      <c r="G50" s="22" t="s">
        <v>41</v>
      </c>
      <c r="H50" s="22" t="s">
        <v>79</v>
      </c>
      <c r="I50" s="22" t="s">
        <v>29</v>
      </c>
      <c r="J50" s="22">
        <v>28</v>
      </c>
      <c r="K50" s="22" t="s">
        <v>105</v>
      </c>
      <c r="L50" s="22">
        <v>0</v>
      </c>
      <c r="M50" s="22" t="s">
        <v>160</v>
      </c>
      <c r="N50" s="26" t="s">
        <v>161</v>
      </c>
      <c r="O50" s="23">
        <v>10000</v>
      </c>
    </row>
    <row r="51" spans="1:15" ht="42.75" customHeight="1">
      <c r="A51" s="22" t="s">
        <v>271</v>
      </c>
      <c r="B51" s="22" t="s">
        <v>21</v>
      </c>
      <c r="C51" s="22" t="s">
        <v>268</v>
      </c>
      <c r="D51" s="22" t="s">
        <v>272</v>
      </c>
      <c r="E51" s="22" t="s">
        <v>273</v>
      </c>
      <c r="F51" s="22" t="s">
        <v>159</v>
      </c>
      <c r="G51" s="22" t="s">
        <v>41</v>
      </c>
      <c r="H51" s="22" t="s">
        <v>91</v>
      </c>
      <c r="I51" s="22" t="s">
        <v>92</v>
      </c>
      <c r="J51" s="22">
        <v>20</v>
      </c>
      <c r="K51" s="22" t="s">
        <v>105</v>
      </c>
      <c r="L51" s="22">
        <v>0</v>
      </c>
      <c r="M51" s="22" t="s">
        <v>160</v>
      </c>
      <c r="N51" s="26" t="s">
        <v>161</v>
      </c>
      <c r="O51" s="23">
        <v>3000</v>
      </c>
    </row>
    <row r="52" spans="1:15" ht="84.75" customHeight="1">
      <c r="A52" s="22" t="s">
        <v>274</v>
      </c>
      <c r="B52" s="22" t="s">
        <v>21</v>
      </c>
      <c r="C52" s="22" t="s">
        <v>275</v>
      </c>
      <c r="D52" s="22" t="s">
        <v>276</v>
      </c>
      <c r="E52" s="22" t="s">
        <v>277</v>
      </c>
      <c r="F52" s="22" t="s">
        <v>109</v>
      </c>
      <c r="G52" s="22" t="s">
        <v>41</v>
      </c>
      <c r="H52" s="22" t="s">
        <v>91</v>
      </c>
      <c r="I52" s="22" t="s">
        <v>92</v>
      </c>
      <c r="J52" s="22">
        <v>40</v>
      </c>
      <c r="K52" s="22" t="s">
        <v>80</v>
      </c>
      <c r="L52" s="22">
        <v>10</v>
      </c>
      <c r="M52" s="22" t="s">
        <v>81</v>
      </c>
      <c r="N52" s="22"/>
      <c r="O52" s="23">
        <v>0</v>
      </c>
    </row>
    <row r="53" spans="1:15" ht="32.25" customHeight="1">
      <c r="A53" s="22" t="s">
        <v>278</v>
      </c>
      <c r="B53" s="22" t="s">
        <v>21</v>
      </c>
      <c r="C53" s="22" t="s">
        <v>275</v>
      </c>
      <c r="D53" s="22" t="s">
        <v>279</v>
      </c>
      <c r="E53" s="22" t="s">
        <v>280</v>
      </c>
      <c r="F53" s="22" t="s">
        <v>113</v>
      </c>
      <c r="G53" s="22" t="s">
        <v>41</v>
      </c>
      <c r="H53" s="22" t="s">
        <v>79</v>
      </c>
      <c r="I53" s="22" t="s">
        <v>31</v>
      </c>
      <c r="J53" s="22">
        <v>40</v>
      </c>
      <c r="K53" s="22" t="s">
        <v>281</v>
      </c>
      <c r="L53" s="22">
        <v>6</v>
      </c>
      <c r="M53" s="22" t="s">
        <v>160</v>
      </c>
      <c r="N53" s="26" t="s">
        <v>161</v>
      </c>
      <c r="O53" s="23">
        <v>3000</v>
      </c>
    </row>
    <row r="54" spans="1:15" ht="74.25" customHeight="1">
      <c r="A54" s="22" t="s">
        <v>282</v>
      </c>
      <c r="B54" s="22" t="s">
        <v>21</v>
      </c>
      <c r="C54" s="22" t="s">
        <v>283</v>
      </c>
      <c r="D54" s="22" t="s">
        <v>284</v>
      </c>
      <c r="E54" s="22" t="s">
        <v>285</v>
      </c>
      <c r="F54" s="22" t="s">
        <v>159</v>
      </c>
      <c r="G54" s="22" t="s">
        <v>41</v>
      </c>
      <c r="H54" s="22" t="s">
        <v>79</v>
      </c>
      <c r="I54" s="22" t="s">
        <v>31</v>
      </c>
      <c r="J54" s="22">
        <v>80</v>
      </c>
      <c r="K54" s="22" t="s">
        <v>286</v>
      </c>
      <c r="L54" s="22">
        <v>50</v>
      </c>
      <c r="M54" s="22" t="s">
        <v>81</v>
      </c>
      <c r="N54" s="22"/>
      <c r="O54" s="23">
        <v>0</v>
      </c>
    </row>
    <row r="55" spans="1:15" ht="42.75" customHeight="1">
      <c r="A55" s="22" t="s">
        <v>287</v>
      </c>
      <c r="B55" s="22" t="s">
        <v>21</v>
      </c>
      <c r="C55" s="22" t="s">
        <v>283</v>
      </c>
      <c r="D55" s="22" t="s">
        <v>288</v>
      </c>
      <c r="E55" s="22" t="s">
        <v>289</v>
      </c>
      <c r="F55" s="22" t="s">
        <v>78</v>
      </c>
      <c r="G55" s="22" t="s">
        <v>41</v>
      </c>
      <c r="H55" s="22" t="s">
        <v>79</v>
      </c>
      <c r="I55" s="22" t="s">
        <v>30</v>
      </c>
      <c r="J55" s="22">
        <v>20</v>
      </c>
      <c r="K55" s="22" t="s">
        <v>281</v>
      </c>
      <c r="L55" s="22">
        <v>8</v>
      </c>
      <c r="M55" s="22" t="s">
        <v>160</v>
      </c>
      <c r="N55" s="26" t="s">
        <v>161</v>
      </c>
      <c r="O55" s="23">
        <v>2500</v>
      </c>
    </row>
    <row r="56" spans="1:15" ht="32.25" customHeight="1">
      <c r="A56" s="24" t="s">
        <v>290</v>
      </c>
      <c r="B56" s="24" t="s">
        <v>23</v>
      </c>
      <c r="C56" s="24" t="s">
        <v>291</v>
      </c>
      <c r="D56" s="24" t="s">
        <v>292</v>
      </c>
      <c r="E56" s="24" t="s">
        <v>293</v>
      </c>
      <c r="F56" s="24" t="s">
        <v>78</v>
      </c>
      <c r="G56" s="24" t="s">
        <v>41</v>
      </c>
      <c r="H56" s="24" t="s">
        <v>79</v>
      </c>
      <c r="I56" s="24" t="s">
        <v>28</v>
      </c>
      <c r="J56" s="24">
        <v>16</v>
      </c>
      <c r="K56" s="24" t="s">
        <v>80</v>
      </c>
      <c r="L56" s="24">
        <v>8</v>
      </c>
      <c r="M56" s="24" t="s">
        <v>81</v>
      </c>
      <c r="N56" s="24"/>
      <c r="O56" s="25">
        <v>0</v>
      </c>
    </row>
    <row r="57" spans="1:15" ht="42.75" customHeight="1">
      <c r="A57" s="24" t="s">
        <v>294</v>
      </c>
      <c r="B57" s="24" t="s">
        <v>23</v>
      </c>
      <c r="C57" s="24" t="s">
        <v>291</v>
      </c>
      <c r="D57" s="24" t="s">
        <v>295</v>
      </c>
      <c r="E57" s="24" t="s">
        <v>296</v>
      </c>
      <c r="F57" s="24" t="s">
        <v>90</v>
      </c>
      <c r="G57" s="24" t="s">
        <v>41</v>
      </c>
      <c r="H57" s="24" t="s">
        <v>79</v>
      </c>
      <c r="I57" s="24" t="s">
        <v>28</v>
      </c>
      <c r="J57" s="24">
        <v>16</v>
      </c>
      <c r="K57" s="24" t="s">
        <v>93</v>
      </c>
      <c r="L57" s="24">
        <v>6</v>
      </c>
      <c r="M57" s="24" t="s">
        <v>81</v>
      </c>
      <c r="N57" s="24"/>
      <c r="O57" s="25">
        <v>0</v>
      </c>
    </row>
    <row r="58" spans="1:15" ht="42.75" customHeight="1">
      <c r="A58" s="24" t="s">
        <v>297</v>
      </c>
      <c r="B58" s="24" t="s">
        <v>23</v>
      </c>
      <c r="C58" s="24" t="s">
        <v>291</v>
      </c>
      <c r="D58" s="24" t="s">
        <v>298</v>
      </c>
      <c r="E58" s="24" t="s">
        <v>299</v>
      </c>
      <c r="F58" s="24" t="s">
        <v>151</v>
      </c>
      <c r="G58" s="24" t="s">
        <v>41</v>
      </c>
      <c r="H58" s="24" t="s">
        <v>79</v>
      </c>
      <c r="I58" s="24" t="s">
        <v>28</v>
      </c>
      <c r="J58" s="24">
        <v>12</v>
      </c>
      <c r="K58" s="24" t="s">
        <v>105</v>
      </c>
      <c r="L58" s="24">
        <v>0</v>
      </c>
      <c r="M58" s="24" t="s">
        <v>81</v>
      </c>
      <c r="N58" s="24"/>
      <c r="O58" s="25">
        <v>0</v>
      </c>
    </row>
    <row r="59" spans="1:15" ht="32.25" customHeight="1">
      <c r="A59" s="24" t="s">
        <v>300</v>
      </c>
      <c r="B59" s="24" t="s">
        <v>23</v>
      </c>
      <c r="C59" s="24" t="s">
        <v>301</v>
      </c>
      <c r="D59" s="24" t="s">
        <v>302</v>
      </c>
      <c r="E59" s="24" t="s">
        <v>303</v>
      </c>
      <c r="F59" s="24" t="s">
        <v>135</v>
      </c>
      <c r="G59" s="24" t="s">
        <v>41</v>
      </c>
      <c r="H59" s="24" t="s">
        <v>79</v>
      </c>
      <c r="I59" s="24" t="s">
        <v>28</v>
      </c>
      <c r="J59" s="24">
        <v>6</v>
      </c>
      <c r="K59" s="24" t="s">
        <v>304</v>
      </c>
      <c r="L59" s="24">
        <v>4</v>
      </c>
      <c r="M59" s="24" t="s">
        <v>81</v>
      </c>
      <c r="N59" s="24"/>
      <c r="O59" s="25">
        <v>0</v>
      </c>
    </row>
    <row r="60" spans="1:15" ht="63.75" customHeight="1">
      <c r="A60" s="24" t="s">
        <v>305</v>
      </c>
      <c r="B60" s="24" t="s">
        <v>23</v>
      </c>
      <c r="C60" s="24" t="s">
        <v>306</v>
      </c>
      <c r="D60" s="24" t="s">
        <v>307</v>
      </c>
      <c r="E60" s="24" t="s">
        <v>308</v>
      </c>
      <c r="F60" s="24" t="s">
        <v>78</v>
      </c>
      <c r="G60" s="24" t="s">
        <v>41</v>
      </c>
      <c r="H60" s="24" t="s">
        <v>79</v>
      </c>
      <c r="I60" s="24" t="s">
        <v>29</v>
      </c>
      <c r="J60" s="24">
        <v>20</v>
      </c>
      <c r="K60" s="24" t="s">
        <v>80</v>
      </c>
      <c r="L60" s="24">
        <v>10</v>
      </c>
      <c r="M60" s="24" t="s">
        <v>81</v>
      </c>
      <c r="N60" s="24"/>
      <c r="O60" s="25">
        <v>0</v>
      </c>
    </row>
    <row r="61" spans="1:15" ht="53.25" customHeight="1">
      <c r="A61" s="24" t="s">
        <v>309</v>
      </c>
      <c r="B61" s="24" t="s">
        <v>23</v>
      </c>
      <c r="C61" s="24" t="s">
        <v>306</v>
      </c>
      <c r="D61" s="24" t="s">
        <v>310</v>
      </c>
      <c r="E61" s="24" t="s">
        <v>311</v>
      </c>
      <c r="F61" s="24" t="s">
        <v>109</v>
      </c>
      <c r="G61" s="24" t="s">
        <v>41</v>
      </c>
      <c r="H61" s="24" t="s">
        <v>79</v>
      </c>
      <c r="I61" s="24" t="s">
        <v>30</v>
      </c>
      <c r="J61" s="24">
        <v>12</v>
      </c>
      <c r="K61" s="24" t="s">
        <v>105</v>
      </c>
      <c r="L61" s="24">
        <v>0</v>
      </c>
      <c r="M61" s="24" t="s">
        <v>81</v>
      </c>
      <c r="N61" s="24"/>
      <c r="O61" s="25">
        <v>0</v>
      </c>
    </row>
  </sheetData>
  <autoFilter ref="A1:O61"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61"/>
  <sheetViews>
    <sheetView zoomScaleNormal="100" workbookViewId="0"/>
  </sheetViews>
  <sheetFormatPr defaultColWidth="8.5703125" defaultRowHeight="14.45"/>
  <sheetData>
    <row r="1" spans="1:16" ht="15" customHeight="1">
      <c r="A1" s="30" t="s">
        <v>60</v>
      </c>
      <c r="B1" s="30" t="s">
        <v>312</v>
      </c>
      <c r="C1" s="30" t="s">
        <v>313</v>
      </c>
      <c r="D1" s="30" t="s">
        <v>314</v>
      </c>
      <c r="E1" s="30" t="s">
        <v>315</v>
      </c>
      <c r="F1" s="30" t="s">
        <v>316</v>
      </c>
      <c r="G1" s="30" t="s">
        <v>317</v>
      </c>
      <c r="H1" s="30" t="s">
        <v>318</v>
      </c>
      <c r="I1" s="30" t="s">
        <v>319</v>
      </c>
      <c r="J1" s="30" t="s">
        <v>320</v>
      </c>
      <c r="K1" s="30" t="s">
        <v>321</v>
      </c>
      <c r="L1" s="30" t="s">
        <v>322</v>
      </c>
      <c r="M1" s="30" t="s">
        <v>323</v>
      </c>
      <c r="N1" s="30" t="s">
        <v>324</v>
      </c>
      <c r="O1" s="30" t="s">
        <v>325</v>
      </c>
      <c r="P1" s="30" t="s">
        <v>326</v>
      </c>
    </row>
    <row r="2" spans="1:16" ht="15" customHeight="1">
      <c r="A2" t="s">
        <v>74</v>
      </c>
      <c r="B2" t="s">
        <v>327</v>
      </c>
      <c r="C2" t="s">
        <v>81</v>
      </c>
      <c r="D2">
        <v>16</v>
      </c>
      <c r="E2">
        <v>0</v>
      </c>
      <c r="F2">
        <v>0</v>
      </c>
      <c r="G2">
        <v>0</v>
      </c>
      <c r="H2">
        <v>4</v>
      </c>
      <c r="I2">
        <v>0</v>
      </c>
      <c r="J2">
        <v>0</v>
      </c>
      <c r="K2">
        <v>0</v>
      </c>
      <c r="L2">
        <v>0</v>
      </c>
      <c r="M2">
        <v>0</v>
      </c>
      <c r="N2">
        <v>0</v>
      </c>
      <c r="O2">
        <v>0</v>
      </c>
      <c r="P2">
        <v>1</v>
      </c>
    </row>
    <row r="3" spans="1:16" ht="15" customHeight="1">
      <c r="A3" t="s">
        <v>82</v>
      </c>
      <c r="B3" t="s">
        <v>327</v>
      </c>
      <c r="C3" t="s">
        <v>81</v>
      </c>
      <c r="D3">
        <v>6</v>
      </c>
      <c r="E3">
        <v>0</v>
      </c>
      <c r="F3">
        <v>0</v>
      </c>
      <c r="G3">
        <v>0</v>
      </c>
      <c r="H3">
        <v>2</v>
      </c>
      <c r="I3">
        <v>0</v>
      </c>
      <c r="J3">
        <v>0</v>
      </c>
      <c r="K3">
        <v>0</v>
      </c>
      <c r="L3">
        <v>0</v>
      </c>
      <c r="M3">
        <v>0</v>
      </c>
      <c r="N3">
        <v>0</v>
      </c>
      <c r="O3">
        <v>0</v>
      </c>
      <c r="P3">
        <v>1</v>
      </c>
    </row>
    <row r="4" spans="1:16" ht="15" customHeight="1">
      <c r="A4" t="s">
        <v>87</v>
      </c>
      <c r="B4" t="s">
        <v>327</v>
      </c>
      <c r="C4" t="s">
        <v>81</v>
      </c>
      <c r="D4">
        <v>32</v>
      </c>
      <c r="E4">
        <v>32</v>
      </c>
      <c r="F4">
        <v>32</v>
      </c>
      <c r="G4">
        <v>32</v>
      </c>
      <c r="H4">
        <v>10</v>
      </c>
      <c r="I4">
        <v>10</v>
      </c>
      <c r="J4">
        <v>10</v>
      </c>
      <c r="K4">
        <v>10</v>
      </c>
      <c r="L4">
        <v>0</v>
      </c>
      <c r="M4">
        <v>0</v>
      </c>
      <c r="N4">
        <v>0</v>
      </c>
      <c r="O4">
        <v>0</v>
      </c>
      <c r="P4">
        <v>1</v>
      </c>
    </row>
    <row r="5" spans="1:16" ht="15" customHeight="1">
      <c r="A5" t="s">
        <v>94</v>
      </c>
      <c r="B5" t="s">
        <v>327</v>
      </c>
      <c r="C5" t="s">
        <v>81</v>
      </c>
      <c r="D5">
        <v>28</v>
      </c>
      <c r="E5">
        <v>28</v>
      </c>
      <c r="F5">
        <v>28</v>
      </c>
      <c r="G5">
        <v>28</v>
      </c>
      <c r="H5">
        <v>8</v>
      </c>
      <c r="I5">
        <v>8</v>
      </c>
      <c r="J5">
        <v>8</v>
      </c>
      <c r="K5">
        <v>8</v>
      </c>
      <c r="L5">
        <v>0</v>
      </c>
      <c r="M5">
        <v>0</v>
      </c>
      <c r="N5">
        <v>0</v>
      </c>
      <c r="O5">
        <v>0</v>
      </c>
      <c r="P5">
        <v>1</v>
      </c>
    </row>
    <row r="6" spans="1:16" ht="15" customHeight="1">
      <c r="A6" t="s">
        <v>98</v>
      </c>
      <c r="B6" t="s">
        <v>327</v>
      </c>
      <c r="C6" t="s">
        <v>81</v>
      </c>
      <c r="D6">
        <v>20</v>
      </c>
      <c r="E6">
        <v>20</v>
      </c>
      <c r="F6">
        <v>20</v>
      </c>
      <c r="G6">
        <v>20</v>
      </c>
      <c r="H6">
        <v>6</v>
      </c>
      <c r="I6">
        <v>6</v>
      </c>
      <c r="J6">
        <v>6</v>
      </c>
      <c r="K6">
        <v>6</v>
      </c>
      <c r="L6">
        <v>0</v>
      </c>
      <c r="M6">
        <v>0</v>
      </c>
      <c r="N6">
        <v>0</v>
      </c>
      <c r="O6">
        <v>0</v>
      </c>
      <c r="P6">
        <v>1</v>
      </c>
    </row>
    <row r="7" spans="1:16" ht="15" customHeight="1">
      <c r="A7" t="s">
        <v>101</v>
      </c>
      <c r="B7" t="s">
        <v>327</v>
      </c>
      <c r="C7" t="s">
        <v>81</v>
      </c>
      <c r="D7">
        <v>32</v>
      </c>
      <c r="E7">
        <v>32</v>
      </c>
      <c r="F7">
        <v>32</v>
      </c>
      <c r="G7">
        <v>32</v>
      </c>
      <c r="H7">
        <v>0</v>
      </c>
      <c r="I7">
        <v>0</v>
      </c>
      <c r="J7">
        <v>0</v>
      </c>
      <c r="K7">
        <v>0</v>
      </c>
      <c r="L7">
        <v>0</v>
      </c>
      <c r="M7">
        <v>0</v>
      </c>
      <c r="N7">
        <v>0</v>
      </c>
      <c r="O7">
        <v>0</v>
      </c>
      <c r="P7">
        <v>1</v>
      </c>
    </row>
    <row r="8" spans="1:16" ht="15" customHeight="1">
      <c r="A8" t="s">
        <v>106</v>
      </c>
      <c r="B8" t="s">
        <v>327</v>
      </c>
      <c r="C8" t="s">
        <v>81</v>
      </c>
      <c r="D8">
        <v>80</v>
      </c>
      <c r="E8">
        <v>80</v>
      </c>
      <c r="F8">
        <v>80</v>
      </c>
      <c r="G8">
        <v>80</v>
      </c>
      <c r="H8">
        <v>0</v>
      </c>
      <c r="I8">
        <v>0</v>
      </c>
      <c r="J8">
        <v>0</v>
      </c>
      <c r="K8">
        <v>0</v>
      </c>
      <c r="L8">
        <v>0</v>
      </c>
      <c r="M8">
        <v>0</v>
      </c>
      <c r="N8">
        <v>0</v>
      </c>
      <c r="O8">
        <v>0</v>
      </c>
      <c r="P8">
        <v>1</v>
      </c>
    </row>
    <row r="9" spans="1:16" ht="15" customHeight="1">
      <c r="A9" t="s">
        <v>110</v>
      </c>
      <c r="B9" t="s">
        <v>327</v>
      </c>
      <c r="C9" t="s">
        <v>81</v>
      </c>
      <c r="D9">
        <v>16</v>
      </c>
      <c r="E9">
        <v>16</v>
      </c>
      <c r="F9">
        <v>16</v>
      </c>
      <c r="G9">
        <v>16</v>
      </c>
      <c r="H9">
        <v>0</v>
      </c>
      <c r="I9">
        <v>0</v>
      </c>
      <c r="J9">
        <v>0</v>
      </c>
      <c r="K9">
        <v>0</v>
      </c>
      <c r="L9">
        <v>0</v>
      </c>
      <c r="M9">
        <v>0</v>
      </c>
      <c r="N9">
        <v>0</v>
      </c>
      <c r="O9">
        <v>0</v>
      </c>
      <c r="P9">
        <v>1</v>
      </c>
    </row>
    <row r="10" spans="1:16" ht="15" customHeight="1">
      <c r="A10" t="s">
        <v>114</v>
      </c>
      <c r="B10" t="s">
        <v>327</v>
      </c>
      <c r="C10" t="s">
        <v>81</v>
      </c>
      <c r="D10">
        <v>0</v>
      </c>
      <c r="E10">
        <v>28</v>
      </c>
      <c r="F10">
        <v>0</v>
      </c>
      <c r="G10">
        <v>0</v>
      </c>
      <c r="H10">
        <v>0</v>
      </c>
      <c r="I10">
        <v>12</v>
      </c>
      <c r="J10">
        <v>0</v>
      </c>
      <c r="K10">
        <v>0</v>
      </c>
      <c r="L10">
        <v>0</v>
      </c>
      <c r="M10">
        <v>0</v>
      </c>
      <c r="N10">
        <v>0</v>
      </c>
      <c r="O10">
        <v>0</v>
      </c>
      <c r="P10">
        <v>1</v>
      </c>
    </row>
    <row r="11" spans="1:16" ht="15" customHeight="1">
      <c r="A11" t="s">
        <v>119</v>
      </c>
      <c r="B11" t="s">
        <v>327</v>
      </c>
      <c r="C11" t="s">
        <v>81</v>
      </c>
      <c r="D11">
        <v>12</v>
      </c>
      <c r="E11">
        <v>0</v>
      </c>
      <c r="F11">
        <v>0</v>
      </c>
      <c r="G11">
        <v>0</v>
      </c>
      <c r="H11">
        <v>8</v>
      </c>
      <c r="I11">
        <v>0</v>
      </c>
      <c r="J11">
        <v>0</v>
      </c>
      <c r="K11">
        <v>0</v>
      </c>
      <c r="L11">
        <v>0</v>
      </c>
      <c r="M11">
        <v>0</v>
      </c>
      <c r="N11">
        <v>0</v>
      </c>
      <c r="O11">
        <v>0</v>
      </c>
      <c r="P11">
        <v>2</v>
      </c>
    </row>
    <row r="12" spans="1:16" ht="15" customHeight="1">
      <c r="A12" t="s">
        <v>123</v>
      </c>
      <c r="B12" t="s">
        <v>327</v>
      </c>
      <c r="C12" t="s">
        <v>81</v>
      </c>
      <c r="D12">
        <v>0</v>
      </c>
      <c r="E12">
        <v>20</v>
      </c>
      <c r="F12">
        <v>0</v>
      </c>
      <c r="G12">
        <v>0</v>
      </c>
      <c r="H12">
        <v>0</v>
      </c>
      <c r="I12">
        <v>10</v>
      </c>
      <c r="J12">
        <v>0</v>
      </c>
      <c r="K12">
        <v>0</v>
      </c>
      <c r="L12">
        <v>0</v>
      </c>
      <c r="M12">
        <v>0</v>
      </c>
      <c r="N12">
        <v>0</v>
      </c>
      <c r="O12">
        <v>0</v>
      </c>
      <c r="P12">
        <v>2</v>
      </c>
    </row>
    <row r="13" spans="1:16" ht="15" customHeight="1">
      <c r="A13" t="s">
        <v>127</v>
      </c>
      <c r="B13" t="s">
        <v>327</v>
      </c>
      <c r="C13" t="s">
        <v>81</v>
      </c>
      <c r="D13">
        <v>0</v>
      </c>
      <c r="E13">
        <v>12</v>
      </c>
      <c r="F13">
        <v>0</v>
      </c>
      <c r="G13">
        <v>0</v>
      </c>
      <c r="H13">
        <v>0</v>
      </c>
      <c r="I13">
        <v>0</v>
      </c>
      <c r="J13">
        <v>0</v>
      </c>
      <c r="K13">
        <v>0</v>
      </c>
      <c r="L13">
        <v>0</v>
      </c>
      <c r="M13">
        <v>0</v>
      </c>
      <c r="N13">
        <v>0</v>
      </c>
      <c r="O13">
        <v>0</v>
      </c>
      <c r="P13">
        <v>2</v>
      </c>
    </row>
    <row r="14" spans="1:16" ht="15" customHeight="1">
      <c r="A14" t="s">
        <v>131</v>
      </c>
      <c r="B14" t="s">
        <v>327</v>
      </c>
      <c r="C14" t="s">
        <v>81</v>
      </c>
      <c r="D14">
        <v>16</v>
      </c>
      <c r="E14">
        <v>16</v>
      </c>
      <c r="F14">
        <v>16</v>
      </c>
      <c r="G14">
        <v>16</v>
      </c>
      <c r="H14">
        <v>0</v>
      </c>
      <c r="I14">
        <v>0</v>
      </c>
      <c r="J14">
        <v>0</v>
      </c>
      <c r="K14">
        <v>0</v>
      </c>
      <c r="L14">
        <v>0</v>
      </c>
      <c r="M14">
        <v>0</v>
      </c>
      <c r="N14">
        <v>0</v>
      </c>
      <c r="O14">
        <v>0</v>
      </c>
      <c r="P14">
        <v>2</v>
      </c>
    </row>
    <row r="15" spans="1:16" ht="15" customHeight="1">
      <c r="A15" t="s">
        <v>136</v>
      </c>
      <c r="B15" t="s">
        <v>327</v>
      </c>
      <c r="C15" t="s">
        <v>81</v>
      </c>
      <c r="D15">
        <v>20</v>
      </c>
      <c r="E15">
        <v>20</v>
      </c>
      <c r="F15">
        <v>20</v>
      </c>
      <c r="G15">
        <v>20</v>
      </c>
      <c r="H15">
        <v>0</v>
      </c>
      <c r="I15">
        <v>0</v>
      </c>
      <c r="J15">
        <v>0</v>
      </c>
      <c r="K15">
        <v>0</v>
      </c>
      <c r="L15">
        <v>0</v>
      </c>
      <c r="M15">
        <v>0</v>
      </c>
      <c r="N15">
        <v>0</v>
      </c>
      <c r="O15">
        <v>0</v>
      </c>
      <c r="P15">
        <v>2</v>
      </c>
    </row>
    <row r="16" spans="1:16" ht="15" customHeight="1">
      <c r="A16" t="s">
        <v>140</v>
      </c>
      <c r="B16" t="s">
        <v>327</v>
      </c>
      <c r="C16" t="s">
        <v>81</v>
      </c>
      <c r="D16">
        <v>0</v>
      </c>
      <c r="E16">
        <v>0</v>
      </c>
      <c r="F16">
        <v>16</v>
      </c>
      <c r="G16">
        <v>0</v>
      </c>
      <c r="H16">
        <v>0</v>
      </c>
      <c r="I16">
        <v>0</v>
      </c>
      <c r="J16">
        <v>6</v>
      </c>
      <c r="K16">
        <v>0</v>
      </c>
      <c r="L16">
        <v>0</v>
      </c>
      <c r="M16">
        <v>0</v>
      </c>
      <c r="N16">
        <v>0</v>
      </c>
      <c r="O16">
        <v>0</v>
      </c>
      <c r="P16">
        <v>2</v>
      </c>
    </row>
    <row r="17" spans="1:16" ht="15" customHeight="1">
      <c r="A17" t="s">
        <v>145</v>
      </c>
      <c r="B17" t="s">
        <v>327</v>
      </c>
      <c r="C17" t="s">
        <v>81</v>
      </c>
      <c r="D17">
        <v>0</v>
      </c>
      <c r="E17">
        <v>0</v>
      </c>
      <c r="F17">
        <v>0</v>
      </c>
      <c r="G17">
        <v>52</v>
      </c>
      <c r="H17">
        <v>0</v>
      </c>
      <c r="I17">
        <v>0</v>
      </c>
      <c r="J17">
        <v>0</v>
      </c>
      <c r="K17">
        <v>10</v>
      </c>
      <c r="L17">
        <v>0</v>
      </c>
      <c r="M17">
        <v>0</v>
      </c>
      <c r="N17">
        <v>0</v>
      </c>
      <c r="O17">
        <v>0</v>
      </c>
      <c r="P17">
        <v>2</v>
      </c>
    </row>
    <row r="18" spans="1:16" ht="15" customHeight="1">
      <c r="A18" t="s">
        <v>148</v>
      </c>
      <c r="B18" t="s">
        <v>327</v>
      </c>
      <c r="C18" t="s">
        <v>81</v>
      </c>
      <c r="D18">
        <v>12</v>
      </c>
      <c r="E18">
        <v>12</v>
      </c>
      <c r="F18">
        <v>12</v>
      </c>
      <c r="G18">
        <v>12</v>
      </c>
      <c r="H18">
        <v>0</v>
      </c>
      <c r="I18">
        <v>0</v>
      </c>
      <c r="J18">
        <v>0</v>
      </c>
      <c r="K18">
        <v>0</v>
      </c>
      <c r="L18">
        <v>0</v>
      </c>
      <c r="M18">
        <v>0</v>
      </c>
      <c r="N18">
        <v>0</v>
      </c>
      <c r="O18">
        <v>0</v>
      </c>
      <c r="P18">
        <v>2</v>
      </c>
    </row>
    <row r="19" spans="1:16" ht="15" customHeight="1">
      <c r="A19" t="s">
        <v>152</v>
      </c>
      <c r="B19" t="s">
        <v>327</v>
      </c>
      <c r="C19" t="s">
        <v>81</v>
      </c>
      <c r="D19">
        <v>0</v>
      </c>
      <c r="E19">
        <v>0</v>
      </c>
      <c r="F19">
        <v>0</v>
      </c>
      <c r="G19">
        <v>32</v>
      </c>
      <c r="H19">
        <v>0</v>
      </c>
      <c r="I19">
        <v>0</v>
      </c>
      <c r="J19">
        <v>0</v>
      </c>
      <c r="K19">
        <v>10</v>
      </c>
      <c r="L19">
        <v>0</v>
      </c>
      <c r="M19">
        <v>0</v>
      </c>
      <c r="N19">
        <v>0</v>
      </c>
      <c r="O19">
        <v>0</v>
      </c>
      <c r="P19">
        <v>2</v>
      </c>
    </row>
    <row r="20" spans="1:16" ht="15" customHeight="1">
      <c r="A20" t="s">
        <v>155</v>
      </c>
      <c r="B20" t="s">
        <v>161</v>
      </c>
      <c r="C20" t="s">
        <v>160</v>
      </c>
      <c r="D20">
        <v>12</v>
      </c>
      <c r="E20">
        <v>0</v>
      </c>
      <c r="F20">
        <v>0</v>
      </c>
      <c r="G20">
        <v>0</v>
      </c>
      <c r="H20">
        <v>0</v>
      </c>
      <c r="I20">
        <v>0</v>
      </c>
      <c r="J20">
        <v>0</v>
      </c>
      <c r="K20">
        <v>0</v>
      </c>
      <c r="L20">
        <v>1200</v>
      </c>
      <c r="M20">
        <v>0</v>
      </c>
      <c r="N20">
        <v>0</v>
      </c>
      <c r="O20">
        <v>0</v>
      </c>
      <c r="P20">
        <v>3</v>
      </c>
    </row>
    <row r="21" spans="1:16" ht="15" customHeight="1">
      <c r="A21" t="s">
        <v>162</v>
      </c>
      <c r="B21" t="s">
        <v>161</v>
      </c>
      <c r="C21" t="s">
        <v>160</v>
      </c>
      <c r="D21">
        <v>0</v>
      </c>
      <c r="E21">
        <v>10</v>
      </c>
      <c r="F21">
        <v>0</v>
      </c>
      <c r="G21">
        <v>0</v>
      </c>
      <c r="H21">
        <v>0</v>
      </c>
      <c r="I21">
        <v>0</v>
      </c>
      <c r="J21">
        <v>0</v>
      </c>
      <c r="K21">
        <v>0</v>
      </c>
      <c r="L21">
        <v>0</v>
      </c>
      <c r="M21">
        <v>900</v>
      </c>
      <c r="N21">
        <v>0</v>
      </c>
      <c r="O21">
        <v>0</v>
      </c>
      <c r="P21">
        <v>3</v>
      </c>
    </row>
    <row r="22" spans="1:16" ht="15" customHeight="1">
      <c r="A22" t="s">
        <v>165</v>
      </c>
      <c r="B22" t="s">
        <v>161</v>
      </c>
      <c r="C22" t="s">
        <v>160</v>
      </c>
      <c r="D22">
        <v>12</v>
      </c>
      <c r="E22">
        <v>0</v>
      </c>
      <c r="F22">
        <v>0</v>
      </c>
      <c r="G22">
        <v>0</v>
      </c>
      <c r="H22">
        <v>0</v>
      </c>
      <c r="I22">
        <v>0</v>
      </c>
      <c r="J22">
        <v>0</v>
      </c>
      <c r="K22">
        <v>0</v>
      </c>
      <c r="L22">
        <v>1200</v>
      </c>
      <c r="M22">
        <v>0</v>
      </c>
      <c r="N22">
        <v>0</v>
      </c>
      <c r="O22">
        <v>0</v>
      </c>
      <c r="P22">
        <v>3</v>
      </c>
    </row>
    <row r="23" spans="1:16" ht="15" customHeight="1">
      <c r="A23" t="s">
        <v>168</v>
      </c>
      <c r="B23" t="s">
        <v>172</v>
      </c>
      <c r="C23" t="s">
        <v>160</v>
      </c>
      <c r="D23">
        <v>24</v>
      </c>
      <c r="E23">
        <v>0</v>
      </c>
      <c r="F23">
        <v>0</v>
      </c>
      <c r="G23">
        <v>0</v>
      </c>
      <c r="H23">
        <v>0</v>
      </c>
      <c r="I23">
        <v>0</v>
      </c>
      <c r="J23">
        <v>0</v>
      </c>
      <c r="K23">
        <v>0</v>
      </c>
      <c r="L23">
        <v>3500</v>
      </c>
      <c r="M23">
        <v>0</v>
      </c>
      <c r="N23">
        <v>0</v>
      </c>
      <c r="O23">
        <v>0</v>
      </c>
      <c r="P23">
        <v>3</v>
      </c>
    </row>
    <row r="24" spans="1:16" ht="15" customHeight="1">
      <c r="A24" t="s">
        <v>173</v>
      </c>
      <c r="B24" t="s">
        <v>327</v>
      </c>
      <c r="C24" t="s">
        <v>81</v>
      </c>
      <c r="D24">
        <v>28</v>
      </c>
      <c r="E24">
        <v>28</v>
      </c>
      <c r="F24">
        <v>28</v>
      </c>
      <c r="G24">
        <v>28</v>
      </c>
      <c r="H24">
        <v>0</v>
      </c>
      <c r="I24">
        <v>0</v>
      </c>
      <c r="J24">
        <v>0</v>
      </c>
      <c r="K24">
        <v>0</v>
      </c>
      <c r="L24">
        <v>0</v>
      </c>
      <c r="M24">
        <v>0</v>
      </c>
      <c r="N24">
        <v>0</v>
      </c>
      <c r="O24">
        <v>0</v>
      </c>
      <c r="P24">
        <v>3</v>
      </c>
    </row>
    <row r="25" spans="1:16" ht="15" customHeight="1">
      <c r="A25" t="s">
        <v>176</v>
      </c>
      <c r="B25" t="s">
        <v>327</v>
      </c>
      <c r="C25" t="s">
        <v>81</v>
      </c>
      <c r="D25">
        <v>20</v>
      </c>
      <c r="E25">
        <v>20</v>
      </c>
      <c r="F25">
        <v>20</v>
      </c>
      <c r="G25">
        <v>20</v>
      </c>
      <c r="H25">
        <v>0</v>
      </c>
      <c r="I25">
        <v>0</v>
      </c>
      <c r="J25">
        <v>0</v>
      </c>
      <c r="K25">
        <v>0</v>
      </c>
      <c r="L25">
        <v>0</v>
      </c>
      <c r="M25">
        <v>0</v>
      </c>
      <c r="N25">
        <v>0</v>
      </c>
      <c r="O25">
        <v>0</v>
      </c>
      <c r="P25">
        <v>3</v>
      </c>
    </row>
    <row r="26" spans="1:16" ht="15" customHeight="1">
      <c r="A26" t="s">
        <v>179</v>
      </c>
      <c r="B26" t="s">
        <v>327</v>
      </c>
      <c r="C26" t="s">
        <v>81</v>
      </c>
      <c r="D26">
        <v>12</v>
      </c>
      <c r="E26">
        <v>12</v>
      </c>
      <c r="F26">
        <v>12</v>
      </c>
      <c r="G26">
        <v>12</v>
      </c>
      <c r="H26">
        <v>0</v>
      </c>
      <c r="I26">
        <v>0</v>
      </c>
      <c r="J26">
        <v>0</v>
      </c>
      <c r="K26">
        <v>0</v>
      </c>
      <c r="L26">
        <v>0</v>
      </c>
      <c r="M26">
        <v>0</v>
      </c>
      <c r="N26">
        <v>0</v>
      </c>
      <c r="O26">
        <v>0</v>
      </c>
      <c r="P26">
        <v>3</v>
      </c>
    </row>
    <row r="27" spans="1:16" ht="15" customHeight="1">
      <c r="A27" t="s">
        <v>183</v>
      </c>
      <c r="B27" t="s">
        <v>327</v>
      </c>
      <c r="C27" t="s">
        <v>81</v>
      </c>
      <c r="D27">
        <v>0</v>
      </c>
      <c r="E27">
        <v>0</v>
      </c>
      <c r="F27">
        <v>10</v>
      </c>
      <c r="G27">
        <v>0</v>
      </c>
      <c r="H27">
        <v>0</v>
      </c>
      <c r="I27">
        <v>0</v>
      </c>
      <c r="J27">
        <v>0</v>
      </c>
      <c r="K27">
        <v>0</v>
      </c>
      <c r="L27">
        <v>0</v>
      </c>
      <c r="M27">
        <v>0</v>
      </c>
      <c r="N27">
        <v>0</v>
      </c>
      <c r="O27">
        <v>0</v>
      </c>
      <c r="P27">
        <v>3</v>
      </c>
    </row>
    <row r="28" spans="1:16" ht="15" customHeight="1">
      <c r="A28" t="s">
        <v>186</v>
      </c>
      <c r="B28" t="s">
        <v>161</v>
      </c>
      <c r="C28" t="s">
        <v>160</v>
      </c>
      <c r="D28">
        <v>0</v>
      </c>
      <c r="E28">
        <v>12</v>
      </c>
      <c r="F28">
        <v>0</v>
      </c>
      <c r="G28">
        <v>0</v>
      </c>
      <c r="H28">
        <v>0</v>
      </c>
      <c r="I28">
        <v>0</v>
      </c>
      <c r="J28">
        <v>0</v>
      </c>
      <c r="K28">
        <v>0</v>
      </c>
      <c r="L28">
        <v>0</v>
      </c>
      <c r="M28">
        <v>1200</v>
      </c>
      <c r="N28">
        <v>0</v>
      </c>
      <c r="O28">
        <v>0</v>
      </c>
      <c r="P28">
        <v>3</v>
      </c>
    </row>
    <row r="29" spans="1:16" ht="15" customHeight="1">
      <c r="A29" t="s">
        <v>189</v>
      </c>
      <c r="B29" t="s">
        <v>327</v>
      </c>
      <c r="C29" t="s">
        <v>81</v>
      </c>
      <c r="D29">
        <v>12</v>
      </c>
      <c r="E29">
        <v>12</v>
      </c>
      <c r="F29">
        <v>12</v>
      </c>
      <c r="G29">
        <v>12</v>
      </c>
      <c r="H29">
        <v>0</v>
      </c>
      <c r="I29">
        <v>0</v>
      </c>
      <c r="J29">
        <v>0</v>
      </c>
      <c r="K29">
        <v>0</v>
      </c>
      <c r="L29">
        <v>0</v>
      </c>
      <c r="M29">
        <v>0</v>
      </c>
      <c r="N29">
        <v>0</v>
      </c>
      <c r="O29">
        <v>0</v>
      </c>
      <c r="P29">
        <v>3</v>
      </c>
    </row>
    <row r="30" spans="1:16" ht="15" customHeight="1">
      <c r="A30" t="s">
        <v>193</v>
      </c>
      <c r="B30" t="s">
        <v>172</v>
      </c>
      <c r="C30" t="s">
        <v>160</v>
      </c>
      <c r="D30">
        <v>80</v>
      </c>
      <c r="E30">
        <v>0</v>
      </c>
      <c r="F30">
        <v>0</v>
      </c>
      <c r="G30">
        <v>0</v>
      </c>
      <c r="H30">
        <v>16</v>
      </c>
      <c r="I30">
        <v>0</v>
      </c>
      <c r="J30">
        <v>0</v>
      </c>
      <c r="K30">
        <v>0</v>
      </c>
      <c r="L30">
        <v>12000</v>
      </c>
      <c r="M30">
        <v>0</v>
      </c>
      <c r="N30">
        <v>0</v>
      </c>
      <c r="O30">
        <v>0</v>
      </c>
      <c r="P30">
        <v>4</v>
      </c>
    </row>
    <row r="31" spans="1:16" ht="15" customHeight="1">
      <c r="A31" t="s">
        <v>198</v>
      </c>
      <c r="B31" t="s">
        <v>327</v>
      </c>
      <c r="C31" t="s">
        <v>81</v>
      </c>
      <c r="D31">
        <v>28</v>
      </c>
      <c r="E31">
        <v>0</v>
      </c>
      <c r="F31">
        <v>0</v>
      </c>
      <c r="G31">
        <v>0</v>
      </c>
      <c r="H31">
        <v>40</v>
      </c>
      <c r="I31">
        <v>0</v>
      </c>
      <c r="J31">
        <v>0</v>
      </c>
      <c r="K31">
        <v>0</v>
      </c>
      <c r="L31">
        <v>0</v>
      </c>
      <c r="M31">
        <v>0</v>
      </c>
      <c r="N31">
        <v>0</v>
      </c>
      <c r="O31">
        <v>0</v>
      </c>
      <c r="P31">
        <v>4</v>
      </c>
    </row>
    <row r="32" spans="1:16" ht="15" customHeight="1">
      <c r="A32" t="s">
        <v>201</v>
      </c>
      <c r="B32" t="s">
        <v>327</v>
      </c>
      <c r="C32" t="s">
        <v>81</v>
      </c>
      <c r="D32">
        <v>0</v>
      </c>
      <c r="E32">
        <v>20</v>
      </c>
      <c r="F32">
        <v>0</v>
      </c>
      <c r="G32">
        <v>0</v>
      </c>
      <c r="H32">
        <v>0</v>
      </c>
      <c r="I32">
        <v>100</v>
      </c>
      <c r="J32">
        <v>0</v>
      </c>
      <c r="K32">
        <v>0</v>
      </c>
      <c r="L32">
        <v>0</v>
      </c>
      <c r="M32">
        <v>0</v>
      </c>
      <c r="N32">
        <v>0</v>
      </c>
      <c r="O32">
        <v>0</v>
      </c>
      <c r="P32">
        <v>4</v>
      </c>
    </row>
    <row r="33" spans="1:16" ht="15" customHeight="1">
      <c r="A33" t="s">
        <v>204</v>
      </c>
      <c r="B33" t="s">
        <v>161</v>
      </c>
      <c r="C33" t="s">
        <v>160</v>
      </c>
      <c r="D33">
        <v>10</v>
      </c>
      <c r="E33">
        <v>10</v>
      </c>
      <c r="F33">
        <v>10</v>
      </c>
      <c r="G33">
        <v>10</v>
      </c>
      <c r="H33">
        <v>0</v>
      </c>
      <c r="I33">
        <v>0</v>
      </c>
      <c r="J33">
        <v>0</v>
      </c>
      <c r="K33">
        <v>0</v>
      </c>
      <c r="L33">
        <v>600</v>
      </c>
      <c r="M33">
        <v>600</v>
      </c>
      <c r="N33">
        <v>600</v>
      </c>
      <c r="O33">
        <v>600</v>
      </c>
      <c r="P33">
        <v>4</v>
      </c>
    </row>
    <row r="34" spans="1:16" ht="15" customHeight="1">
      <c r="A34" t="s">
        <v>207</v>
      </c>
      <c r="B34" t="s">
        <v>327</v>
      </c>
      <c r="C34" t="s">
        <v>81</v>
      </c>
      <c r="D34">
        <v>0</v>
      </c>
      <c r="E34">
        <v>0</v>
      </c>
      <c r="F34">
        <v>16</v>
      </c>
      <c r="G34">
        <v>0</v>
      </c>
      <c r="H34">
        <v>0</v>
      </c>
      <c r="I34">
        <v>0</v>
      </c>
      <c r="J34">
        <v>8</v>
      </c>
      <c r="K34">
        <v>0</v>
      </c>
      <c r="L34">
        <v>0</v>
      </c>
      <c r="M34">
        <v>0</v>
      </c>
      <c r="N34">
        <v>0</v>
      </c>
      <c r="O34">
        <v>0</v>
      </c>
      <c r="P34">
        <v>4</v>
      </c>
    </row>
    <row r="35" spans="1:16" ht="15" customHeight="1">
      <c r="A35" t="s">
        <v>211</v>
      </c>
      <c r="B35" t="s">
        <v>161</v>
      </c>
      <c r="C35" t="s">
        <v>160</v>
      </c>
      <c r="D35">
        <v>0</v>
      </c>
      <c r="E35">
        <v>10</v>
      </c>
      <c r="F35">
        <v>0</v>
      </c>
      <c r="G35">
        <v>0</v>
      </c>
      <c r="H35">
        <v>0</v>
      </c>
      <c r="I35">
        <v>4</v>
      </c>
      <c r="J35">
        <v>0</v>
      </c>
      <c r="K35">
        <v>0</v>
      </c>
      <c r="L35">
        <v>0</v>
      </c>
      <c r="M35">
        <v>600</v>
      </c>
      <c r="N35">
        <v>0</v>
      </c>
      <c r="O35">
        <v>0</v>
      </c>
      <c r="P35">
        <v>4</v>
      </c>
    </row>
    <row r="36" spans="1:16" ht="15" customHeight="1">
      <c r="A36" t="s">
        <v>215</v>
      </c>
      <c r="B36" t="s">
        <v>327</v>
      </c>
      <c r="C36" t="s">
        <v>81</v>
      </c>
      <c r="D36">
        <v>10</v>
      </c>
      <c r="E36">
        <v>10</v>
      </c>
      <c r="F36">
        <v>10</v>
      </c>
      <c r="G36">
        <v>10</v>
      </c>
      <c r="H36">
        <v>0</v>
      </c>
      <c r="I36">
        <v>0</v>
      </c>
      <c r="J36">
        <v>0</v>
      </c>
      <c r="K36">
        <v>0</v>
      </c>
      <c r="L36">
        <v>0</v>
      </c>
      <c r="M36">
        <v>0</v>
      </c>
      <c r="N36">
        <v>0</v>
      </c>
      <c r="O36">
        <v>0</v>
      </c>
      <c r="P36">
        <v>4</v>
      </c>
    </row>
    <row r="37" spans="1:16" ht="15" customHeight="1">
      <c r="A37" t="s">
        <v>218</v>
      </c>
      <c r="B37" t="s">
        <v>172</v>
      </c>
      <c r="C37" t="s">
        <v>160</v>
      </c>
      <c r="D37">
        <v>28</v>
      </c>
      <c r="E37">
        <v>0</v>
      </c>
      <c r="F37">
        <v>0</v>
      </c>
      <c r="G37">
        <v>0</v>
      </c>
      <c r="H37">
        <v>16</v>
      </c>
      <c r="I37">
        <v>0</v>
      </c>
      <c r="J37">
        <v>0</v>
      </c>
      <c r="K37">
        <v>0</v>
      </c>
      <c r="L37">
        <v>6000</v>
      </c>
      <c r="M37">
        <v>0</v>
      </c>
      <c r="N37">
        <v>0</v>
      </c>
      <c r="O37">
        <v>0</v>
      </c>
      <c r="P37">
        <v>5</v>
      </c>
    </row>
    <row r="38" spans="1:16" ht="15" customHeight="1">
      <c r="A38" t="s">
        <v>222</v>
      </c>
      <c r="B38" t="s">
        <v>327</v>
      </c>
      <c r="C38" t="s">
        <v>81</v>
      </c>
      <c r="D38">
        <v>12</v>
      </c>
      <c r="E38">
        <v>0</v>
      </c>
      <c r="F38">
        <v>0</v>
      </c>
      <c r="G38">
        <v>0</v>
      </c>
      <c r="H38">
        <v>0</v>
      </c>
      <c r="I38">
        <v>0</v>
      </c>
      <c r="J38">
        <v>0</v>
      </c>
      <c r="K38">
        <v>0</v>
      </c>
      <c r="L38">
        <v>0</v>
      </c>
      <c r="M38">
        <v>0</v>
      </c>
      <c r="N38">
        <v>0</v>
      </c>
      <c r="O38">
        <v>0</v>
      </c>
      <c r="P38">
        <v>5</v>
      </c>
    </row>
    <row r="39" spans="1:16" ht="15" customHeight="1">
      <c r="A39" t="s">
        <v>225</v>
      </c>
      <c r="B39" t="s">
        <v>327</v>
      </c>
      <c r="C39" t="s">
        <v>81</v>
      </c>
      <c r="D39">
        <v>0</v>
      </c>
      <c r="E39">
        <v>20</v>
      </c>
      <c r="F39">
        <v>0</v>
      </c>
      <c r="G39">
        <v>0</v>
      </c>
      <c r="H39">
        <v>0</v>
      </c>
      <c r="I39">
        <v>8</v>
      </c>
      <c r="J39">
        <v>0</v>
      </c>
      <c r="K39">
        <v>0</v>
      </c>
      <c r="L39">
        <v>0</v>
      </c>
      <c r="M39">
        <v>0</v>
      </c>
      <c r="N39">
        <v>0</v>
      </c>
      <c r="O39">
        <v>0</v>
      </c>
      <c r="P39">
        <v>5</v>
      </c>
    </row>
    <row r="40" spans="1:16" ht="15" customHeight="1">
      <c r="A40" t="s">
        <v>228</v>
      </c>
      <c r="B40" t="s">
        <v>327</v>
      </c>
      <c r="C40" t="s">
        <v>81</v>
      </c>
      <c r="D40">
        <v>0</v>
      </c>
      <c r="E40">
        <v>0</v>
      </c>
      <c r="F40">
        <v>28</v>
      </c>
      <c r="G40">
        <v>0</v>
      </c>
      <c r="H40">
        <v>0</v>
      </c>
      <c r="I40">
        <v>0</v>
      </c>
      <c r="J40">
        <v>12</v>
      </c>
      <c r="K40">
        <v>0</v>
      </c>
      <c r="L40">
        <v>0</v>
      </c>
      <c r="M40">
        <v>0</v>
      </c>
      <c r="N40">
        <v>0</v>
      </c>
      <c r="O40">
        <v>0</v>
      </c>
      <c r="P40">
        <v>5</v>
      </c>
    </row>
    <row r="41" spans="1:16" ht="15" customHeight="1">
      <c r="A41" t="s">
        <v>233</v>
      </c>
      <c r="B41" t="s">
        <v>327</v>
      </c>
      <c r="C41" t="s">
        <v>81</v>
      </c>
      <c r="D41">
        <v>0</v>
      </c>
      <c r="E41">
        <v>0</v>
      </c>
      <c r="F41">
        <v>10</v>
      </c>
      <c r="G41">
        <v>0</v>
      </c>
      <c r="H41">
        <v>0</v>
      </c>
      <c r="I41">
        <v>0</v>
      </c>
      <c r="J41">
        <v>4</v>
      </c>
      <c r="K41">
        <v>0</v>
      </c>
      <c r="L41">
        <v>0</v>
      </c>
      <c r="M41">
        <v>0</v>
      </c>
      <c r="N41">
        <v>0</v>
      </c>
      <c r="O41">
        <v>0</v>
      </c>
      <c r="P41">
        <v>5</v>
      </c>
    </row>
    <row r="42" spans="1:16" ht="15" customHeight="1">
      <c r="A42" t="s">
        <v>237</v>
      </c>
      <c r="B42" t="s">
        <v>172</v>
      </c>
      <c r="C42" t="s">
        <v>160</v>
      </c>
      <c r="D42">
        <v>0</v>
      </c>
      <c r="E42">
        <v>0</v>
      </c>
      <c r="F42">
        <v>32</v>
      </c>
      <c r="G42">
        <v>0</v>
      </c>
      <c r="H42">
        <v>0</v>
      </c>
      <c r="I42">
        <v>0</v>
      </c>
      <c r="J42">
        <v>16</v>
      </c>
      <c r="K42">
        <v>0</v>
      </c>
      <c r="L42">
        <v>0</v>
      </c>
      <c r="M42">
        <v>0</v>
      </c>
      <c r="N42">
        <v>5000</v>
      </c>
      <c r="O42">
        <v>0</v>
      </c>
      <c r="P42">
        <v>5</v>
      </c>
    </row>
    <row r="43" spans="1:16" ht="15" customHeight="1">
      <c r="A43" t="s">
        <v>242</v>
      </c>
      <c r="B43" t="s">
        <v>327</v>
      </c>
      <c r="C43" t="s">
        <v>81</v>
      </c>
      <c r="D43">
        <v>0</v>
      </c>
      <c r="E43">
        <v>16</v>
      </c>
      <c r="F43">
        <v>16</v>
      </c>
      <c r="G43">
        <v>16</v>
      </c>
      <c r="H43">
        <v>0</v>
      </c>
      <c r="I43">
        <v>0</v>
      </c>
      <c r="J43">
        <v>0</v>
      </c>
      <c r="K43">
        <v>0</v>
      </c>
      <c r="L43">
        <v>0</v>
      </c>
      <c r="M43">
        <v>0</v>
      </c>
      <c r="N43">
        <v>0</v>
      </c>
      <c r="O43">
        <v>0</v>
      </c>
      <c r="P43">
        <v>5</v>
      </c>
    </row>
    <row r="44" spans="1:16" ht="15" customHeight="1">
      <c r="A44" t="s">
        <v>245</v>
      </c>
      <c r="B44" t="s">
        <v>327</v>
      </c>
      <c r="C44" t="s">
        <v>81</v>
      </c>
      <c r="D44">
        <v>0</v>
      </c>
      <c r="E44">
        <v>0</v>
      </c>
      <c r="F44">
        <v>16</v>
      </c>
      <c r="G44">
        <v>0</v>
      </c>
      <c r="H44">
        <v>0</v>
      </c>
      <c r="I44">
        <v>0</v>
      </c>
      <c r="J44">
        <v>0</v>
      </c>
      <c r="K44">
        <v>0</v>
      </c>
      <c r="L44">
        <v>0</v>
      </c>
      <c r="M44">
        <v>0</v>
      </c>
      <c r="N44">
        <v>0</v>
      </c>
      <c r="O44">
        <v>0</v>
      </c>
      <c r="P44">
        <v>6</v>
      </c>
    </row>
    <row r="45" spans="1:16" ht="15" customHeight="1">
      <c r="A45" t="s">
        <v>249</v>
      </c>
      <c r="B45" t="s">
        <v>327</v>
      </c>
      <c r="C45" t="s">
        <v>81</v>
      </c>
      <c r="D45">
        <v>0</v>
      </c>
      <c r="E45">
        <v>12</v>
      </c>
      <c r="F45">
        <v>0</v>
      </c>
      <c r="G45">
        <v>0</v>
      </c>
      <c r="H45">
        <v>0</v>
      </c>
      <c r="I45">
        <v>0</v>
      </c>
      <c r="J45">
        <v>0</v>
      </c>
      <c r="K45">
        <v>0</v>
      </c>
      <c r="L45">
        <v>0</v>
      </c>
      <c r="M45">
        <v>0</v>
      </c>
      <c r="N45">
        <v>0</v>
      </c>
      <c r="O45">
        <v>0</v>
      </c>
      <c r="P45">
        <v>6</v>
      </c>
    </row>
    <row r="46" spans="1:16" ht="15" customHeight="1">
      <c r="A46" t="s">
        <v>252</v>
      </c>
      <c r="B46" t="s">
        <v>327</v>
      </c>
      <c r="C46" t="s">
        <v>81</v>
      </c>
      <c r="D46">
        <v>20</v>
      </c>
      <c r="E46">
        <v>0</v>
      </c>
      <c r="F46">
        <v>0</v>
      </c>
      <c r="G46">
        <v>0</v>
      </c>
      <c r="H46">
        <v>12</v>
      </c>
      <c r="I46">
        <v>0</v>
      </c>
      <c r="J46">
        <v>0</v>
      </c>
      <c r="K46">
        <v>0</v>
      </c>
      <c r="L46">
        <v>0</v>
      </c>
      <c r="M46">
        <v>0</v>
      </c>
      <c r="N46">
        <v>0</v>
      </c>
      <c r="O46">
        <v>0</v>
      </c>
      <c r="P46">
        <v>6</v>
      </c>
    </row>
    <row r="47" spans="1:16" ht="15" customHeight="1">
      <c r="A47" t="s">
        <v>257</v>
      </c>
      <c r="B47" t="s">
        <v>327</v>
      </c>
      <c r="C47" t="s">
        <v>81</v>
      </c>
      <c r="D47">
        <v>0</v>
      </c>
      <c r="E47">
        <v>0</v>
      </c>
      <c r="F47">
        <v>16</v>
      </c>
      <c r="G47">
        <v>0</v>
      </c>
      <c r="H47">
        <v>0</v>
      </c>
      <c r="I47">
        <v>0</v>
      </c>
      <c r="J47">
        <v>8</v>
      </c>
      <c r="K47">
        <v>0</v>
      </c>
      <c r="L47">
        <v>0</v>
      </c>
      <c r="M47">
        <v>0</v>
      </c>
      <c r="N47">
        <v>0</v>
      </c>
      <c r="O47">
        <v>0</v>
      </c>
      <c r="P47">
        <v>6</v>
      </c>
    </row>
    <row r="48" spans="1:16" ht="15" customHeight="1">
      <c r="A48" t="s">
        <v>260</v>
      </c>
      <c r="B48" t="s">
        <v>327</v>
      </c>
      <c r="C48" t="s">
        <v>81</v>
      </c>
      <c r="D48">
        <v>0</v>
      </c>
      <c r="E48">
        <v>16</v>
      </c>
      <c r="F48">
        <v>0</v>
      </c>
      <c r="G48">
        <v>0</v>
      </c>
      <c r="H48">
        <v>0</v>
      </c>
      <c r="I48">
        <v>8</v>
      </c>
      <c r="J48">
        <v>0</v>
      </c>
      <c r="K48">
        <v>0</v>
      </c>
      <c r="L48">
        <v>0</v>
      </c>
      <c r="M48">
        <v>0</v>
      </c>
      <c r="N48">
        <v>0</v>
      </c>
      <c r="O48">
        <v>0</v>
      </c>
      <c r="P48">
        <v>6</v>
      </c>
    </row>
    <row r="49" spans="1:16" ht="15" customHeight="1">
      <c r="A49" t="s">
        <v>264</v>
      </c>
      <c r="B49" t="s">
        <v>327</v>
      </c>
      <c r="C49" t="s">
        <v>81</v>
      </c>
      <c r="D49">
        <v>0</v>
      </c>
      <c r="E49">
        <v>12</v>
      </c>
      <c r="F49">
        <v>12</v>
      </c>
      <c r="G49">
        <v>12</v>
      </c>
      <c r="H49">
        <v>0</v>
      </c>
      <c r="I49">
        <v>0</v>
      </c>
      <c r="J49">
        <v>0</v>
      </c>
      <c r="K49">
        <v>0</v>
      </c>
      <c r="L49">
        <v>0</v>
      </c>
      <c r="M49">
        <v>0</v>
      </c>
      <c r="N49">
        <v>0</v>
      </c>
      <c r="O49">
        <v>0</v>
      </c>
      <c r="P49">
        <v>6</v>
      </c>
    </row>
    <row r="50" spans="1:16" ht="15" customHeight="1">
      <c r="A50" t="s">
        <v>267</v>
      </c>
      <c r="B50" t="s">
        <v>161</v>
      </c>
      <c r="C50" t="s">
        <v>160</v>
      </c>
      <c r="D50">
        <v>0</v>
      </c>
      <c r="E50">
        <v>28</v>
      </c>
      <c r="F50">
        <v>0</v>
      </c>
      <c r="G50">
        <v>0</v>
      </c>
      <c r="H50">
        <v>0</v>
      </c>
      <c r="I50">
        <v>0</v>
      </c>
      <c r="J50">
        <v>0</v>
      </c>
      <c r="K50">
        <v>0</v>
      </c>
      <c r="L50">
        <v>0</v>
      </c>
      <c r="M50">
        <v>10000</v>
      </c>
      <c r="N50">
        <v>0</v>
      </c>
      <c r="O50">
        <v>0</v>
      </c>
      <c r="P50">
        <v>7</v>
      </c>
    </row>
    <row r="51" spans="1:16" ht="15" customHeight="1">
      <c r="A51" t="s">
        <v>271</v>
      </c>
      <c r="B51" t="s">
        <v>161</v>
      </c>
      <c r="C51" t="s">
        <v>160</v>
      </c>
      <c r="D51">
        <v>0</v>
      </c>
      <c r="E51">
        <v>20</v>
      </c>
      <c r="F51">
        <v>20</v>
      </c>
      <c r="G51">
        <v>20</v>
      </c>
      <c r="H51">
        <v>0</v>
      </c>
      <c r="I51">
        <v>0</v>
      </c>
      <c r="J51">
        <v>0</v>
      </c>
      <c r="K51">
        <v>0</v>
      </c>
      <c r="L51">
        <v>0</v>
      </c>
      <c r="M51">
        <v>3000</v>
      </c>
      <c r="N51">
        <v>3000</v>
      </c>
      <c r="O51">
        <v>3000</v>
      </c>
      <c r="P51">
        <v>7</v>
      </c>
    </row>
    <row r="52" spans="1:16" ht="15" customHeight="1">
      <c r="A52" t="s">
        <v>274</v>
      </c>
      <c r="B52" t="s">
        <v>327</v>
      </c>
      <c r="C52" t="s">
        <v>81</v>
      </c>
      <c r="D52">
        <v>0</v>
      </c>
      <c r="E52">
        <v>40</v>
      </c>
      <c r="F52">
        <v>40</v>
      </c>
      <c r="G52">
        <v>0</v>
      </c>
      <c r="H52">
        <v>0</v>
      </c>
      <c r="I52">
        <v>10</v>
      </c>
      <c r="J52">
        <v>10</v>
      </c>
      <c r="K52">
        <v>0</v>
      </c>
      <c r="L52">
        <v>0</v>
      </c>
      <c r="M52">
        <v>0</v>
      </c>
      <c r="N52">
        <v>0</v>
      </c>
      <c r="O52">
        <v>0</v>
      </c>
      <c r="P52">
        <v>7</v>
      </c>
    </row>
    <row r="53" spans="1:16" ht="15" customHeight="1">
      <c r="A53" t="s">
        <v>278</v>
      </c>
      <c r="B53" t="s">
        <v>161</v>
      </c>
      <c r="C53" t="s">
        <v>160</v>
      </c>
      <c r="D53">
        <v>0</v>
      </c>
      <c r="E53">
        <v>0</v>
      </c>
      <c r="F53">
        <v>0</v>
      </c>
      <c r="G53">
        <v>40</v>
      </c>
      <c r="H53">
        <v>0</v>
      </c>
      <c r="I53">
        <v>0</v>
      </c>
      <c r="J53">
        <v>0</v>
      </c>
      <c r="K53">
        <v>6</v>
      </c>
      <c r="L53">
        <v>0</v>
      </c>
      <c r="M53">
        <v>0</v>
      </c>
      <c r="N53">
        <v>0</v>
      </c>
      <c r="O53">
        <v>3000</v>
      </c>
      <c r="P53">
        <v>7</v>
      </c>
    </row>
    <row r="54" spans="1:16" ht="15" customHeight="1">
      <c r="A54" t="s">
        <v>282</v>
      </c>
      <c r="B54" t="s">
        <v>327</v>
      </c>
      <c r="C54" t="s">
        <v>81</v>
      </c>
      <c r="D54">
        <v>0</v>
      </c>
      <c r="E54">
        <v>0</v>
      </c>
      <c r="F54">
        <v>0</v>
      </c>
      <c r="G54">
        <v>80</v>
      </c>
      <c r="H54">
        <v>0</v>
      </c>
      <c r="I54">
        <v>0</v>
      </c>
      <c r="J54">
        <v>0</v>
      </c>
      <c r="K54">
        <v>50</v>
      </c>
      <c r="L54">
        <v>0</v>
      </c>
      <c r="M54">
        <v>0</v>
      </c>
      <c r="N54">
        <v>0</v>
      </c>
      <c r="O54">
        <v>0</v>
      </c>
      <c r="P54">
        <v>7</v>
      </c>
    </row>
    <row r="55" spans="1:16" ht="15" customHeight="1">
      <c r="A55" t="s">
        <v>287</v>
      </c>
      <c r="B55" t="s">
        <v>161</v>
      </c>
      <c r="C55" t="s">
        <v>160</v>
      </c>
      <c r="D55">
        <v>0</v>
      </c>
      <c r="E55">
        <v>0</v>
      </c>
      <c r="F55">
        <v>20</v>
      </c>
      <c r="G55">
        <v>0</v>
      </c>
      <c r="H55">
        <v>0</v>
      </c>
      <c r="I55">
        <v>0</v>
      </c>
      <c r="J55">
        <v>8</v>
      </c>
      <c r="K55">
        <v>0</v>
      </c>
      <c r="L55">
        <v>0</v>
      </c>
      <c r="M55">
        <v>0</v>
      </c>
      <c r="N55">
        <v>2500</v>
      </c>
      <c r="O55">
        <v>0</v>
      </c>
      <c r="P55">
        <v>7</v>
      </c>
    </row>
    <row r="56" spans="1:16" ht="15" customHeight="1">
      <c r="A56" t="s">
        <v>290</v>
      </c>
      <c r="B56" t="s">
        <v>327</v>
      </c>
      <c r="C56" t="s">
        <v>81</v>
      </c>
      <c r="D56">
        <v>16</v>
      </c>
      <c r="E56">
        <v>0</v>
      </c>
      <c r="F56">
        <v>0</v>
      </c>
      <c r="G56">
        <v>0</v>
      </c>
      <c r="H56">
        <v>8</v>
      </c>
      <c r="I56">
        <v>0</v>
      </c>
      <c r="J56">
        <v>0</v>
      </c>
      <c r="K56">
        <v>0</v>
      </c>
      <c r="L56">
        <v>0</v>
      </c>
      <c r="M56">
        <v>0</v>
      </c>
      <c r="N56">
        <v>0</v>
      </c>
      <c r="O56">
        <v>0</v>
      </c>
      <c r="P56">
        <v>8</v>
      </c>
    </row>
    <row r="57" spans="1:16" ht="15" customHeight="1">
      <c r="A57" t="s">
        <v>294</v>
      </c>
      <c r="B57" t="s">
        <v>327</v>
      </c>
      <c r="C57" t="s">
        <v>81</v>
      </c>
      <c r="D57">
        <v>16</v>
      </c>
      <c r="E57">
        <v>0</v>
      </c>
      <c r="F57">
        <v>0</v>
      </c>
      <c r="G57">
        <v>0</v>
      </c>
      <c r="H57">
        <v>6</v>
      </c>
      <c r="I57">
        <v>0</v>
      </c>
      <c r="J57">
        <v>0</v>
      </c>
      <c r="K57">
        <v>0</v>
      </c>
      <c r="L57">
        <v>0</v>
      </c>
      <c r="M57">
        <v>0</v>
      </c>
      <c r="N57">
        <v>0</v>
      </c>
      <c r="O57">
        <v>0</v>
      </c>
      <c r="P57">
        <v>8</v>
      </c>
    </row>
    <row r="58" spans="1:16" ht="15" customHeight="1">
      <c r="A58" t="s">
        <v>297</v>
      </c>
      <c r="B58" t="s">
        <v>327</v>
      </c>
      <c r="C58" t="s">
        <v>81</v>
      </c>
      <c r="D58">
        <v>12</v>
      </c>
      <c r="E58">
        <v>0</v>
      </c>
      <c r="F58">
        <v>0</v>
      </c>
      <c r="G58">
        <v>0</v>
      </c>
      <c r="H58">
        <v>0</v>
      </c>
      <c r="I58">
        <v>0</v>
      </c>
      <c r="J58">
        <v>0</v>
      </c>
      <c r="K58">
        <v>0</v>
      </c>
      <c r="L58">
        <v>0</v>
      </c>
      <c r="M58">
        <v>0</v>
      </c>
      <c r="N58">
        <v>0</v>
      </c>
      <c r="O58">
        <v>0</v>
      </c>
      <c r="P58">
        <v>8</v>
      </c>
    </row>
    <row r="59" spans="1:16" ht="15" customHeight="1">
      <c r="A59" t="s">
        <v>300</v>
      </c>
      <c r="B59" t="s">
        <v>327</v>
      </c>
      <c r="C59" t="s">
        <v>81</v>
      </c>
      <c r="D59">
        <v>6</v>
      </c>
      <c r="E59">
        <v>0</v>
      </c>
      <c r="F59">
        <v>0</v>
      </c>
      <c r="G59">
        <v>0</v>
      </c>
      <c r="H59">
        <v>4</v>
      </c>
      <c r="I59">
        <v>0</v>
      </c>
      <c r="J59">
        <v>0</v>
      </c>
      <c r="K59">
        <v>0</v>
      </c>
      <c r="L59">
        <v>0</v>
      </c>
      <c r="M59">
        <v>0</v>
      </c>
      <c r="N59">
        <v>0</v>
      </c>
      <c r="O59">
        <v>0</v>
      </c>
      <c r="P59">
        <v>8</v>
      </c>
    </row>
    <row r="60" spans="1:16" ht="15" customHeight="1">
      <c r="A60" t="s">
        <v>305</v>
      </c>
      <c r="B60" t="s">
        <v>327</v>
      </c>
      <c r="C60" t="s">
        <v>81</v>
      </c>
      <c r="D60">
        <v>0</v>
      </c>
      <c r="E60">
        <v>20</v>
      </c>
      <c r="F60">
        <v>0</v>
      </c>
      <c r="G60">
        <v>0</v>
      </c>
      <c r="H60">
        <v>0</v>
      </c>
      <c r="I60">
        <v>10</v>
      </c>
      <c r="J60">
        <v>0</v>
      </c>
      <c r="K60">
        <v>0</v>
      </c>
      <c r="L60">
        <v>0</v>
      </c>
      <c r="M60">
        <v>0</v>
      </c>
      <c r="N60">
        <v>0</v>
      </c>
      <c r="O60">
        <v>0</v>
      </c>
      <c r="P60">
        <v>8</v>
      </c>
    </row>
    <row r="61" spans="1:16" ht="15" customHeight="1">
      <c r="A61" t="s">
        <v>309</v>
      </c>
      <c r="B61" t="s">
        <v>327</v>
      </c>
      <c r="C61" t="s">
        <v>81</v>
      </c>
      <c r="D61">
        <v>0</v>
      </c>
      <c r="E61">
        <v>0</v>
      </c>
      <c r="F61">
        <v>12</v>
      </c>
      <c r="G61">
        <v>0</v>
      </c>
      <c r="H61">
        <v>0</v>
      </c>
      <c r="I61">
        <v>0</v>
      </c>
      <c r="J61">
        <v>0</v>
      </c>
      <c r="K61">
        <v>0</v>
      </c>
      <c r="L61">
        <v>0</v>
      </c>
      <c r="M61">
        <v>0</v>
      </c>
      <c r="N61">
        <v>0</v>
      </c>
      <c r="O61">
        <v>0</v>
      </c>
      <c r="P61">
        <v>8</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64"/>
  <sheetViews>
    <sheetView showGridLines="0" tabSelected="1" zoomScaleNormal="100" workbookViewId="0">
      <pane xSplit="6" ySplit="4" topLeftCell="H5" activePane="bottomRight" state="frozen"/>
      <selection pane="bottomRight" activeCell="G4" sqref="G4"/>
      <selection pane="bottomLeft" activeCell="A5" sqref="A5"/>
      <selection pane="topRight" activeCell="G1" sqref="G1"/>
    </sheetView>
  </sheetViews>
  <sheetFormatPr defaultColWidth="8.5703125" defaultRowHeight="14.45"/>
  <cols>
    <col min="1" max="1" width="6" customWidth="1"/>
    <col min="2" max="2" width="4" customWidth="1"/>
    <col min="3" max="3" width="11.42578125" customWidth="1"/>
    <col min="4" max="4" width="11" customWidth="1"/>
    <col min="5" max="5" width="11.85546875" customWidth="1"/>
    <col min="6" max="6" width="90.85546875" customWidth="1"/>
    <col min="7" max="7" width="12" customWidth="1"/>
    <col min="8" max="8" width="24" customWidth="1"/>
    <col min="9" max="9" width="20" customWidth="1"/>
    <col min="10" max="10" width="9" customWidth="1"/>
    <col min="11" max="11" width="11" customWidth="1"/>
    <col min="12" max="12" width="20" customWidth="1"/>
    <col min="13" max="13" width="12" customWidth="1"/>
    <col min="14" max="14" width="24" customWidth="1"/>
    <col min="15" max="15" width="20" customWidth="1"/>
    <col min="16" max="16" width="9" customWidth="1"/>
    <col min="17" max="17" width="11" customWidth="1"/>
    <col min="18" max="18" width="20" customWidth="1"/>
    <col min="19" max="19" width="12" customWidth="1"/>
    <col min="20" max="20" width="24" customWidth="1"/>
    <col min="21" max="21" width="20" customWidth="1"/>
    <col min="22" max="22" width="9" customWidth="1"/>
    <col min="23" max="23" width="11" customWidth="1"/>
    <col min="24" max="24" width="20" customWidth="1"/>
    <col min="25" max="25" width="12" customWidth="1"/>
    <col min="26" max="26" width="24" customWidth="1"/>
    <col min="27" max="27" width="20" customWidth="1"/>
    <col min="28" max="28" width="9" customWidth="1"/>
    <col min="29" max="29" width="11" customWidth="1"/>
    <col min="30" max="30" width="20" customWidth="1"/>
  </cols>
  <sheetData>
    <row r="1" spans="1:30" ht="15.75" customHeight="1">
      <c r="A1" s="31" t="s">
        <v>328</v>
      </c>
    </row>
    <row r="2" spans="1:30" ht="15" customHeight="1">
      <c r="A2" s="2" t="s">
        <v>329</v>
      </c>
    </row>
    <row r="3" spans="1:30" ht="15.75" customHeight="1">
      <c r="G3" s="48" t="s">
        <v>330</v>
      </c>
      <c r="H3" s="48"/>
      <c r="I3" s="48"/>
      <c r="J3" s="48"/>
      <c r="K3" s="48"/>
      <c r="L3" s="48"/>
      <c r="M3" s="49" t="s">
        <v>331</v>
      </c>
      <c r="N3" s="49"/>
      <c r="O3" s="49"/>
      <c r="P3" s="49"/>
      <c r="Q3" s="49"/>
      <c r="R3" s="49"/>
      <c r="S3" s="50" t="s">
        <v>332</v>
      </c>
      <c r="T3" s="50"/>
      <c r="U3" s="50"/>
      <c r="V3" s="50"/>
      <c r="W3" s="50"/>
      <c r="X3" s="50"/>
      <c r="Y3" s="51" t="s">
        <v>333</v>
      </c>
      <c r="Z3" s="51"/>
      <c r="AA3" s="51"/>
      <c r="AB3" s="51"/>
      <c r="AC3" s="51"/>
      <c r="AD3" s="51"/>
    </row>
    <row r="4" spans="1:30" ht="33.75" customHeight="1">
      <c r="A4" s="21" t="s">
        <v>60</v>
      </c>
      <c r="B4" s="21" t="s">
        <v>5</v>
      </c>
      <c r="C4" s="21" t="s">
        <v>63</v>
      </c>
      <c r="D4" s="21" t="s">
        <v>334</v>
      </c>
      <c r="E4" s="21" t="s">
        <v>335</v>
      </c>
      <c r="F4" s="21" t="s">
        <v>336</v>
      </c>
      <c r="G4" s="32" t="s">
        <v>4</v>
      </c>
      <c r="H4" s="32" t="s">
        <v>337</v>
      </c>
      <c r="I4" s="32" t="s">
        <v>338</v>
      </c>
      <c r="J4" s="32" t="s">
        <v>339</v>
      </c>
      <c r="K4" s="32" t="s">
        <v>340</v>
      </c>
      <c r="L4" s="32" t="s">
        <v>341</v>
      </c>
      <c r="M4" s="33" t="s">
        <v>4</v>
      </c>
      <c r="N4" s="33" t="s">
        <v>337</v>
      </c>
      <c r="O4" s="33" t="s">
        <v>338</v>
      </c>
      <c r="P4" s="33" t="s">
        <v>339</v>
      </c>
      <c r="Q4" s="33" t="s">
        <v>340</v>
      </c>
      <c r="R4" s="33" t="s">
        <v>341</v>
      </c>
      <c r="S4" s="34" t="s">
        <v>4</v>
      </c>
      <c r="T4" s="34" t="s">
        <v>337</v>
      </c>
      <c r="U4" s="34" t="s">
        <v>338</v>
      </c>
      <c r="V4" s="34" t="s">
        <v>339</v>
      </c>
      <c r="W4" s="34" t="s">
        <v>340</v>
      </c>
      <c r="X4" s="34" t="s">
        <v>341</v>
      </c>
      <c r="Y4" s="35" t="s">
        <v>4</v>
      </c>
      <c r="Z4" s="35" t="s">
        <v>337</v>
      </c>
      <c r="AA4" s="35" t="s">
        <v>338</v>
      </c>
      <c r="AB4" s="35" t="s">
        <v>339</v>
      </c>
      <c r="AC4" s="35" t="s">
        <v>340</v>
      </c>
      <c r="AD4" s="35" t="s">
        <v>341</v>
      </c>
    </row>
    <row r="5" spans="1:30" ht="15" customHeight="1">
      <c r="A5" s="36" t="str">
        <f>'Plan operativo'!A2</f>
        <v>1.1.1</v>
      </c>
      <c r="B5" s="36">
        <v>1</v>
      </c>
      <c r="C5" s="36" t="str">
        <f>'Plan operativo'!D2</f>
        <v>1.1.1 Aprobar, registrar y difundir el plan</v>
      </c>
      <c r="D5" s="36" t="str">
        <f>'Plan operativo'!I2</f>
        <v>2027</v>
      </c>
      <c r="E5" s="36">
        <f>'Plan operativo'!J2</f>
        <v>16</v>
      </c>
      <c r="F5" s="37">
        <f>'Plan operativo'!O2</f>
        <v>0</v>
      </c>
      <c r="G5" s="38" t="s">
        <v>9</v>
      </c>
      <c r="H5" s="38"/>
      <c r="I5" s="38"/>
      <c r="J5" s="38">
        <v>20</v>
      </c>
      <c r="K5" s="39">
        <v>500</v>
      </c>
      <c r="L5" s="38"/>
      <c r="M5" s="40"/>
      <c r="N5" s="40"/>
      <c r="O5" s="40"/>
      <c r="P5" s="40"/>
      <c r="Q5" s="41"/>
      <c r="R5" s="40"/>
      <c r="S5" s="42"/>
      <c r="T5" s="42"/>
      <c r="U5" s="42"/>
      <c r="V5" s="42"/>
      <c r="W5" s="43"/>
      <c r="X5" s="42"/>
      <c r="Y5" s="44"/>
      <c r="Z5" s="44"/>
      <c r="AA5" s="44"/>
      <c r="AB5" s="44"/>
      <c r="AC5" s="45"/>
      <c r="AD5" s="44"/>
    </row>
    <row r="6" spans="1:30" ht="15" customHeight="1">
      <c r="A6" s="36" t="str">
        <f>'Plan operativo'!A3</f>
        <v>1.1.2</v>
      </c>
      <c r="B6" s="36">
        <v>1</v>
      </c>
      <c r="C6" s="36" t="str">
        <f>'Plan operativo'!D3</f>
        <v>1.1.2 Designar la persona responsable de la gestión del plan, dependiente de Secretaría</v>
      </c>
      <c r="D6" s="36" t="str">
        <f>'Plan operativo'!I3</f>
        <v>2027</v>
      </c>
      <c r="E6" s="36">
        <f>'Plan operativo'!J3</f>
        <v>6</v>
      </c>
      <c r="F6" s="37">
        <f>'Plan operativo'!O3</f>
        <v>0</v>
      </c>
      <c r="G6" s="38" t="s">
        <v>9</v>
      </c>
      <c r="H6" s="38"/>
      <c r="I6" s="38"/>
      <c r="J6" s="38">
        <v>20</v>
      </c>
      <c r="K6" s="39">
        <v>500</v>
      </c>
      <c r="L6" s="38"/>
      <c r="M6" s="40"/>
      <c r="N6" s="40"/>
      <c r="O6" s="40"/>
      <c r="P6" s="40"/>
      <c r="Q6" s="41"/>
      <c r="R6" s="40"/>
      <c r="S6" s="42"/>
      <c r="T6" s="42"/>
      <c r="U6" s="42"/>
      <c r="V6" s="42"/>
      <c r="W6" s="43"/>
      <c r="X6" s="42"/>
      <c r="Y6" s="44"/>
      <c r="Z6" s="44"/>
      <c r="AA6" s="44"/>
      <c r="AB6" s="44"/>
      <c r="AC6" s="45"/>
      <c r="AD6" s="44"/>
    </row>
    <row r="7" spans="1:30" ht="18.75" customHeight="1">
      <c r="A7" s="36" t="str">
        <f>'Plan operativo'!A4</f>
        <v>1.1.3</v>
      </c>
      <c r="B7" s="36">
        <v>1</v>
      </c>
      <c r="C7" s="36" t="str">
        <f>'Plan operativo'!D4</f>
        <v>1.1.3 Constituir el grupo motor técnico y mantenerlo operativo</v>
      </c>
      <c r="D7" s="36" t="str">
        <f>'Plan operativo'!I4</f>
        <v>Todos los años</v>
      </c>
      <c r="E7" s="36">
        <f>'Plan operativo'!J4</f>
        <v>32</v>
      </c>
      <c r="F7" s="37">
        <f>'Plan operativo'!O4</f>
        <v>0</v>
      </c>
      <c r="G7" s="38" t="s">
        <v>9</v>
      </c>
      <c r="H7" s="38"/>
      <c r="I7" s="38"/>
      <c r="J7" s="38">
        <v>20</v>
      </c>
      <c r="K7" s="39">
        <v>500</v>
      </c>
      <c r="L7" s="38"/>
      <c r="M7" s="40"/>
      <c r="N7" s="40"/>
      <c r="O7" s="40"/>
      <c r="P7" s="40"/>
      <c r="Q7" s="41"/>
      <c r="R7" s="40"/>
      <c r="S7" s="42"/>
      <c r="T7" s="42"/>
      <c r="U7" s="42"/>
      <c r="V7" s="42"/>
      <c r="W7" s="43"/>
      <c r="X7" s="42"/>
      <c r="Y7" s="44"/>
      <c r="Z7" s="44"/>
      <c r="AA7" s="44"/>
      <c r="AB7" s="44"/>
      <c r="AC7" s="45"/>
      <c r="AD7" s="44"/>
    </row>
    <row r="8" spans="1:30" ht="18.75" customHeight="1">
      <c r="A8" s="36" t="str">
        <f>'Plan operativo'!A5</f>
        <v>1.1.4</v>
      </c>
      <c r="B8" s="36">
        <v>1</v>
      </c>
      <c r="C8" s="36" t="str">
        <f>'Plan operativo'!D5</f>
        <v>1.1.4 Constituir la Comisión de Igualdad y mantenerla operativa</v>
      </c>
      <c r="D8" s="36" t="str">
        <f>'Plan operativo'!I5</f>
        <v>Todos los años</v>
      </c>
      <c r="E8" s="36">
        <f>'Plan operativo'!J5</f>
        <v>28</v>
      </c>
      <c r="F8" s="37">
        <f>'Plan operativo'!O5</f>
        <v>0</v>
      </c>
      <c r="G8" s="38"/>
      <c r="H8" s="38"/>
      <c r="I8" s="38"/>
      <c r="J8" s="38"/>
      <c r="K8" s="39"/>
      <c r="L8" s="38"/>
      <c r="M8" s="40"/>
      <c r="N8" s="40"/>
      <c r="O8" s="40"/>
      <c r="P8" s="40"/>
      <c r="Q8" s="41"/>
      <c r="R8" s="40"/>
      <c r="S8" s="42"/>
      <c r="T8" s="42"/>
      <c r="U8" s="42"/>
      <c r="V8" s="42"/>
      <c r="W8" s="43"/>
      <c r="X8" s="42"/>
      <c r="Y8" s="44"/>
      <c r="Z8" s="44"/>
      <c r="AA8" s="44"/>
      <c r="AB8" s="44"/>
      <c r="AC8" s="45"/>
      <c r="AD8" s="44"/>
    </row>
    <row r="9" spans="1:30" ht="18.75" customHeight="1">
      <c r="A9" s="36" t="str">
        <f>'Plan operativo'!A6</f>
        <v>1.1.5</v>
      </c>
      <c r="B9" s="36">
        <v>1</v>
      </c>
      <c r="C9" s="36" t="str">
        <f>'Plan operativo'!D6</f>
        <v>1.1.5 Constituir el grupo motor político y mantenerlo operativo</v>
      </c>
      <c r="D9" s="36" t="str">
        <f>'Plan operativo'!I6</f>
        <v>Todos los años</v>
      </c>
      <c r="E9" s="36">
        <f>'Plan operativo'!J6</f>
        <v>20</v>
      </c>
      <c r="F9" s="37">
        <f>'Plan operativo'!O6</f>
        <v>0</v>
      </c>
      <c r="G9" s="38"/>
      <c r="H9" s="38"/>
      <c r="I9" s="38"/>
      <c r="J9" s="38"/>
      <c r="K9" s="39"/>
      <c r="L9" s="38"/>
      <c r="M9" s="40"/>
      <c r="N9" s="40"/>
      <c r="O9" s="40"/>
      <c r="P9" s="40"/>
      <c r="Q9" s="41"/>
      <c r="R9" s="40"/>
      <c r="S9" s="42"/>
      <c r="T9" s="42"/>
      <c r="U9" s="42"/>
      <c r="V9" s="42"/>
      <c r="W9" s="43"/>
      <c r="X9" s="42"/>
      <c r="Y9" s="44"/>
      <c r="Z9" s="44"/>
      <c r="AA9" s="44"/>
      <c r="AB9" s="44"/>
      <c r="AC9" s="45"/>
      <c r="AD9" s="44"/>
    </row>
    <row r="10" spans="1:30" ht="15" customHeight="1">
      <c r="A10" s="36" t="str">
        <f>'Plan operativo'!A7</f>
        <v>1.2.1</v>
      </c>
      <c r="B10" s="36">
        <v>1</v>
      </c>
      <c r="C10" s="36" t="str">
        <f>'Plan operativo'!D7</f>
        <v>1.2.1 Elaborar y aprobar un plan operativo anual</v>
      </c>
      <c r="D10" s="36" t="str">
        <f>'Plan operativo'!I7</f>
        <v>Todos los años</v>
      </c>
      <c r="E10" s="36">
        <f>'Plan operativo'!J7</f>
        <v>32</v>
      </c>
      <c r="F10" s="37">
        <f>'Plan operativo'!O7</f>
        <v>0</v>
      </c>
      <c r="G10" s="38"/>
      <c r="H10" s="38"/>
      <c r="I10" s="38"/>
      <c r="J10" s="38"/>
      <c r="K10" s="39"/>
      <c r="L10" s="38"/>
      <c r="M10" s="40"/>
      <c r="N10" s="40"/>
      <c r="O10" s="40"/>
      <c r="P10" s="40"/>
      <c r="Q10" s="41"/>
      <c r="R10" s="40"/>
      <c r="S10" s="42"/>
      <c r="T10" s="42"/>
      <c r="U10" s="42"/>
      <c r="V10" s="42"/>
      <c r="W10" s="43"/>
      <c r="X10" s="42"/>
      <c r="Y10" s="44"/>
      <c r="Z10" s="44"/>
      <c r="AA10" s="44"/>
      <c r="AB10" s="44"/>
      <c r="AC10" s="45"/>
      <c r="AD10" s="44"/>
    </row>
    <row r="11" spans="1:30" ht="18.75" customHeight="1">
      <c r="A11" s="36" t="str">
        <f>'Plan operativo'!A8</f>
        <v>1.2.2</v>
      </c>
      <c r="B11" s="36">
        <v>1</v>
      </c>
      <c r="C11" s="36" t="str">
        <f>'Plan operativo'!D8</f>
        <v>1.2.2 Elaborar un informe anual de seguimiento y evaluación</v>
      </c>
      <c r="D11" s="36" t="str">
        <f>'Plan operativo'!I8</f>
        <v>Todos los años</v>
      </c>
      <c r="E11" s="36">
        <f>'Plan operativo'!J8</f>
        <v>80</v>
      </c>
      <c r="F11" s="37">
        <f>'Plan operativo'!O8</f>
        <v>0</v>
      </c>
      <c r="G11" s="38"/>
      <c r="H11" s="38"/>
      <c r="I11" s="38"/>
      <c r="J11" s="38"/>
      <c r="K11" s="39"/>
      <c r="L11" s="38"/>
      <c r="M11" s="40"/>
      <c r="N11" s="40"/>
      <c r="O11" s="40"/>
      <c r="P11" s="40"/>
      <c r="Q11" s="41"/>
      <c r="R11" s="40"/>
      <c r="S11" s="42"/>
      <c r="T11" s="42"/>
      <c r="U11" s="42"/>
      <c r="V11" s="42"/>
      <c r="W11" s="43"/>
      <c r="X11" s="42"/>
      <c r="Y11" s="44"/>
      <c r="Z11" s="44"/>
      <c r="AA11" s="44"/>
      <c r="AB11" s="44"/>
      <c r="AC11" s="45"/>
      <c r="AD11" s="44"/>
    </row>
    <row r="12" spans="1:30" ht="18.75" customHeight="1">
      <c r="A12" s="36" t="str">
        <f>'Plan operativo'!A9</f>
        <v>1.2.3</v>
      </c>
      <c r="B12" s="36">
        <v>1</v>
      </c>
      <c r="C12" s="36" t="str">
        <f>'Plan operativo'!D9</f>
        <v>1.2.3 Devolver anualmente los resultados a la plantilla</v>
      </c>
      <c r="D12" s="36" t="str">
        <f>'Plan operativo'!I9</f>
        <v>Todos los años</v>
      </c>
      <c r="E12" s="36">
        <f>'Plan operativo'!J9</f>
        <v>16</v>
      </c>
      <c r="F12" s="37">
        <f>'Plan operativo'!O9</f>
        <v>0</v>
      </c>
      <c r="G12" s="38"/>
      <c r="H12" s="38"/>
      <c r="I12" s="38"/>
      <c r="J12" s="38"/>
      <c r="K12" s="39"/>
      <c r="L12" s="38"/>
      <c r="M12" s="40"/>
      <c r="N12" s="40"/>
      <c r="O12" s="40"/>
      <c r="P12" s="40"/>
      <c r="Q12" s="41"/>
      <c r="R12" s="40"/>
      <c r="S12" s="42"/>
      <c r="T12" s="42"/>
      <c r="U12" s="42"/>
      <c r="V12" s="42"/>
      <c r="W12" s="43"/>
      <c r="X12" s="42"/>
      <c r="Y12" s="44"/>
      <c r="Z12" s="44"/>
      <c r="AA12" s="44"/>
      <c r="AB12" s="44"/>
      <c r="AC12" s="45"/>
      <c r="AD12" s="44"/>
    </row>
    <row r="13" spans="1:30" ht="27.75" customHeight="1">
      <c r="A13" s="36" t="str">
        <f>'Plan operativo'!A10</f>
        <v>1.3.1</v>
      </c>
      <c r="B13" s="36">
        <v>1</v>
      </c>
      <c r="C13" s="36" t="str">
        <f>'Plan operativo'!D10</f>
        <v>1.3.1 Extender la explotación de los datos desagregados por sexo a los registros de gestión de personas</v>
      </c>
      <c r="D13" s="36" t="str">
        <f>'Plan operativo'!I10</f>
        <v>2028</v>
      </c>
      <c r="E13" s="36">
        <f>'Plan operativo'!J10</f>
        <v>28</v>
      </c>
      <c r="F13" s="37">
        <f>'Plan operativo'!O10</f>
        <v>0</v>
      </c>
      <c r="G13" s="38"/>
      <c r="H13" s="38"/>
      <c r="I13" s="38"/>
      <c r="J13" s="38"/>
      <c r="K13" s="39"/>
      <c r="L13" s="38"/>
      <c r="M13" s="40"/>
      <c r="N13" s="40"/>
      <c r="O13" s="40"/>
      <c r="P13" s="40"/>
      <c r="Q13" s="41"/>
      <c r="R13" s="40"/>
      <c r="S13" s="42"/>
      <c r="T13" s="42"/>
      <c r="U13" s="42"/>
      <c r="V13" s="42"/>
      <c r="W13" s="43"/>
      <c r="X13" s="42"/>
      <c r="Y13" s="44"/>
      <c r="Z13" s="44"/>
      <c r="AA13" s="44"/>
      <c r="AB13" s="44"/>
      <c r="AC13" s="45"/>
      <c r="AD13" s="44"/>
    </row>
    <row r="14" spans="1:30" ht="18.75" customHeight="1">
      <c r="A14" s="46" t="str">
        <f>'Plan operativo'!A11</f>
        <v>2.1.1</v>
      </c>
      <c r="B14" s="46">
        <v>2</v>
      </c>
      <c r="C14" s="46" t="str">
        <f>'Plan operativo'!D11</f>
        <v>2.1.1 Elaborar un modelo único de bases con las cláusulas de igualdad</v>
      </c>
      <c r="D14" s="46" t="str">
        <f>'Plan operativo'!I11</f>
        <v>2027</v>
      </c>
      <c r="E14" s="46">
        <f>'Plan operativo'!J11</f>
        <v>12</v>
      </c>
      <c r="F14" s="47">
        <f>'Plan operativo'!O11</f>
        <v>0</v>
      </c>
      <c r="G14" s="38"/>
      <c r="H14" s="38"/>
      <c r="I14" s="38"/>
      <c r="J14" s="38"/>
      <c r="K14" s="39"/>
      <c r="L14" s="38"/>
      <c r="M14" s="40"/>
      <c r="N14" s="40"/>
      <c r="O14" s="40"/>
      <c r="P14" s="40"/>
      <c r="Q14" s="41"/>
      <c r="R14" s="40"/>
      <c r="S14" s="42"/>
      <c r="T14" s="42"/>
      <c r="U14" s="42"/>
      <c r="V14" s="42"/>
      <c r="W14" s="43"/>
      <c r="X14" s="42"/>
      <c r="Y14" s="44"/>
      <c r="Z14" s="44"/>
      <c r="AA14" s="44"/>
      <c r="AB14" s="44"/>
      <c r="AC14" s="45"/>
      <c r="AD14" s="44"/>
    </row>
    <row r="15" spans="1:30" ht="18.75" customHeight="1">
      <c r="A15" s="46" t="str">
        <f>'Plan operativo'!A12</f>
        <v>2.1.2</v>
      </c>
      <c r="B15" s="46">
        <v>2</v>
      </c>
      <c r="C15" s="46" t="str">
        <f>'Plan operativo'!D12</f>
        <v>2.1.2 Modificar el Reglamento de bolsas de trabajo</v>
      </c>
      <c r="D15" s="46" t="str">
        <f>'Plan operativo'!I12</f>
        <v>2028</v>
      </c>
      <c r="E15" s="46">
        <f>'Plan operativo'!J12</f>
        <v>20</v>
      </c>
      <c r="F15" s="47">
        <f>'Plan operativo'!O12</f>
        <v>0</v>
      </c>
      <c r="G15" s="38"/>
      <c r="H15" s="38"/>
      <c r="I15" s="38"/>
      <c r="J15" s="38"/>
      <c r="K15" s="39"/>
      <c r="L15" s="38"/>
      <c r="M15" s="40"/>
      <c r="N15" s="40"/>
      <c r="O15" s="40"/>
      <c r="P15" s="40"/>
      <c r="Q15" s="41"/>
      <c r="R15" s="40"/>
      <c r="S15" s="42"/>
      <c r="T15" s="42"/>
      <c r="U15" s="42"/>
      <c r="V15" s="42"/>
      <c r="W15" s="43"/>
      <c r="X15" s="42"/>
      <c r="Y15" s="44"/>
      <c r="Z15" s="44"/>
      <c r="AA15" s="44"/>
      <c r="AB15" s="44"/>
      <c r="AC15" s="45"/>
      <c r="AD15" s="44"/>
    </row>
    <row r="16" spans="1:30" ht="18.75" customHeight="1">
      <c r="A16" s="46" t="str">
        <f>'Plan operativo'!A13</f>
        <v>2.1.3</v>
      </c>
      <c r="B16" s="46">
        <v>2</v>
      </c>
      <c r="C16" s="46" t="str">
        <f>'Plan operativo'!D13</f>
        <v>2.1.3 Aplicar una lista de verificación previa a cada convocatoria</v>
      </c>
      <c r="D16" s="46" t="str">
        <f>'Plan operativo'!I13</f>
        <v>2028</v>
      </c>
      <c r="E16" s="46">
        <f>'Plan operativo'!J13</f>
        <v>12</v>
      </c>
      <c r="F16" s="47">
        <f>'Plan operativo'!O13</f>
        <v>0</v>
      </c>
      <c r="G16" s="38"/>
      <c r="H16" s="38"/>
      <c r="I16" s="38"/>
      <c r="J16" s="38"/>
      <c r="K16" s="39"/>
      <c r="L16" s="38"/>
      <c r="M16" s="40"/>
      <c r="N16" s="40"/>
      <c r="O16" s="40"/>
      <c r="P16" s="40"/>
      <c r="Q16" s="41"/>
      <c r="R16" s="40"/>
      <c r="S16" s="42"/>
      <c r="T16" s="42"/>
      <c r="U16" s="42"/>
      <c r="V16" s="42"/>
      <c r="W16" s="43"/>
      <c r="X16" s="42"/>
      <c r="Y16" s="44"/>
      <c r="Z16" s="44"/>
      <c r="AA16" s="44"/>
      <c r="AB16" s="44"/>
      <c r="AC16" s="45"/>
      <c r="AD16" s="44"/>
    </row>
    <row r="17" spans="1:30" ht="27.75" customHeight="1">
      <c r="A17" s="46" t="str">
        <f>'Plan operativo'!A14</f>
        <v>2.2.1</v>
      </c>
      <c r="B17" s="46">
        <v>2</v>
      </c>
      <c r="C17" s="46" t="str">
        <f>'Plan operativo'!D14</f>
        <v>2.2.1 Someter cada convocatoria de oferta pública de empleo a evaluación previa de impacto en función del género</v>
      </c>
      <c r="D17" s="46" t="str">
        <f>'Plan operativo'!I14</f>
        <v>Todos los años</v>
      </c>
      <c r="E17" s="46">
        <f>'Plan operativo'!J14</f>
        <v>16</v>
      </c>
      <c r="F17" s="47">
        <f>'Plan operativo'!O14</f>
        <v>0</v>
      </c>
      <c r="G17" s="38"/>
      <c r="H17" s="38"/>
      <c r="I17" s="38"/>
      <c r="J17" s="38"/>
      <c r="K17" s="39"/>
      <c r="L17" s="38"/>
      <c r="M17" s="40"/>
      <c r="N17" s="40"/>
      <c r="O17" s="40"/>
      <c r="P17" s="40"/>
      <c r="Q17" s="41"/>
      <c r="R17" s="40"/>
      <c r="S17" s="42"/>
      <c r="T17" s="42"/>
      <c r="U17" s="42"/>
      <c r="V17" s="42"/>
      <c r="W17" s="43"/>
      <c r="X17" s="42"/>
      <c r="Y17" s="44"/>
      <c r="Z17" s="44"/>
      <c r="AA17" s="44"/>
      <c r="AB17" s="44"/>
      <c r="AC17" s="45"/>
      <c r="AD17" s="44"/>
    </row>
    <row r="18" spans="1:30" ht="18.75" customHeight="1">
      <c r="A18" s="46" t="str">
        <f>'Plan operativo'!A15</f>
        <v>2.3.1</v>
      </c>
      <c r="B18" s="46">
        <v>2</v>
      </c>
      <c r="C18" s="46" t="str">
        <f>'Plan operativo'!D15</f>
        <v>2.3.1 Registrar la concurrencia y los resultados de cada proceso desagregados por sexo</v>
      </c>
      <c r="D18" s="46" t="str">
        <f>'Plan operativo'!I15</f>
        <v>Todos los años</v>
      </c>
      <c r="E18" s="46">
        <f>'Plan operativo'!J15</f>
        <v>20</v>
      </c>
      <c r="F18" s="47">
        <f>'Plan operativo'!O15</f>
        <v>0</v>
      </c>
      <c r="G18" s="38"/>
      <c r="H18" s="38"/>
      <c r="I18" s="38"/>
      <c r="J18" s="38"/>
      <c r="K18" s="39"/>
      <c r="L18" s="38"/>
      <c r="M18" s="40"/>
      <c r="N18" s="40"/>
      <c r="O18" s="40"/>
      <c r="P18" s="40"/>
      <c r="Q18" s="41"/>
      <c r="R18" s="40"/>
      <c r="S18" s="42"/>
      <c r="T18" s="42"/>
      <c r="U18" s="42"/>
      <c r="V18" s="42"/>
      <c r="W18" s="43"/>
      <c r="X18" s="42"/>
      <c r="Y18" s="44"/>
      <c r="Z18" s="44"/>
      <c r="AA18" s="44"/>
      <c r="AB18" s="44"/>
      <c r="AC18" s="45"/>
      <c r="AD18" s="44"/>
    </row>
    <row r="19" spans="1:30" ht="18.75" customHeight="1">
      <c r="A19" s="46" t="str">
        <f>'Plan operativo'!A16</f>
        <v>2.4.1</v>
      </c>
      <c r="B19" s="46">
        <v>2</v>
      </c>
      <c r="C19" s="46" t="str">
        <f>'Plan operativo'!D16</f>
        <v>2.4.1 Verificar la aplicación del régimen específico en la Policía Local</v>
      </c>
      <c r="D19" s="46" t="str">
        <f>'Plan operativo'!I16</f>
        <v>2029</v>
      </c>
      <c r="E19" s="46">
        <f>'Plan operativo'!J16</f>
        <v>16</v>
      </c>
      <c r="F19" s="47">
        <f>'Plan operativo'!O16</f>
        <v>0</v>
      </c>
      <c r="G19" s="38"/>
      <c r="H19" s="38"/>
      <c r="I19" s="38"/>
      <c r="J19" s="38"/>
      <c r="K19" s="39"/>
      <c r="L19" s="38"/>
      <c r="M19" s="40"/>
      <c r="N19" s="40"/>
      <c r="O19" s="40"/>
      <c r="P19" s="40"/>
      <c r="Q19" s="41"/>
      <c r="R19" s="40"/>
      <c r="S19" s="42"/>
      <c r="T19" s="42"/>
      <c r="U19" s="42"/>
      <c r="V19" s="42"/>
      <c r="W19" s="43"/>
      <c r="X19" s="42"/>
      <c r="Y19" s="44"/>
      <c r="Z19" s="44"/>
      <c r="AA19" s="44"/>
      <c r="AB19" s="44"/>
      <c r="AC19" s="45"/>
      <c r="AD19" s="44"/>
    </row>
    <row r="20" spans="1:30" ht="15" customHeight="1">
      <c r="A20" s="46" t="str">
        <f>'Plan operativo'!A17</f>
        <v>2.4.2</v>
      </c>
      <c r="B20" s="46">
        <v>2</v>
      </c>
      <c r="C20" s="46" t="str">
        <f>'Plan operativo'!D17</f>
        <v>2.4.2 Revisar los requisitos y las pruebas físicas</v>
      </c>
      <c r="D20" s="46" t="str">
        <f>'Plan operativo'!I17</f>
        <v>2030</v>
      </c>
      <c r="E20" s="46">
        <f>'Plan operativo'!J17</f>
        <v>52</v>
      </c>
      <c r="F20" s="47">
        <f>'Plan operativo'!O17</f>
        <v>0</v>
      </c>
      <c r="G20" s="38"/>
      <c r="H20" s="38"/>
      <c r="I20" s="38"/>
      <c r="J20" s="38"/>
      <c r="K20" s="39"/>
      <c r="L20" s="38"/>
      <c r="M20" s="40"/>
      <c r="N20" s="40"/>
      <c r="O20" s="40"/>
      <c r="P20" s="40"/>
      <c r="Q20" s="41"/>
      <c r="R20" s="40"/>
      <c r="S20" s="42"/>
      <c r="T20" s="42"/>
      <c r="U20" s="42"/>
      <c r="V20" s="42"/>
      <c r="W20" s="43"/>
      <c r="X20" s="42"/>
      <c r="Y20" s="44"/>
      <c r="Z20" s="44"/>
      <c r="AA20" s="44"/>
      <c r="AB20" s="44"/>
      <c r="AC20" s="45"/>
      <c r="AD20" s="44"/>
    </row>
    <row r="21" spans="1:30" ht="15" customHeight="1">
      <c r="A21" s="46" t="str">
        <f>'Plan operativo'!A18</f>
        <v>2.4.3</v>
      </c>
      <c r="B21" s="46">
        <v>2</v>
      </c>
      <c r="C21" s="46" t="str">
        <f>'Plan operativo'!D18</f>
        <v>2.4.3 Difundir las convocatorias de forma dirigida</v>
      </c>
      <c r="D21" s="46" t="str">
        <f>'Plan operativo'!I18</f>
        <v>Todos los años</v>
      </c>
      <c r="E21" s="46">
        <f>'Plan operativo'!J18</f>
        <v>12</v>
      </c>
      <c r="F21" s="47">
        <f>'Plan operativo'!O18</f>
        <v>0</v>
      </c>
      <c r="G21" s="38"/>
      <c r="H21" s="38"/>
      <c r="I21" s="38"/>
      <c r="J21" s="38"/>
      <c r="K21" s="39"/>
      <c r="L21" s="38"/>
      <c r="M21" s="40"/>
      <c r="N21" s="40"/>
      <c r="O21" s="40"/>
      <c r="P21" s="40"/>
      <c r="Q21" s="41"/>
      <c r="R21" s="40"/>
      <c r="S21" s="42"/>
      <c r="T21" s="42"/>
      <c r="U21" s="42"/>
      <c r="V21" s="42"/>
      <c r="W21" s="43"/>
      <c r="X21" s="42"/>
      <c r="Y21" s="44"/>
      <c r="Z21" s="44"/>
      <c r="AA21" s="44"/>
      <c r="AB21" s="44"/>
      <c r="AC21" s="45"/>
      <c r="AD21" s="44"/>
    </row>
    <row r="22" spans="1:30" ht="18.75" customHeight="1">
      <c r="A22" s="46" t="str">
        <f>'Plan operativo'!A19</f>
        <v>2.4.4</v>
      </c>
      <c r="B22" s="46">
        <v>2</v>
      </c>
      <c r="C22" s="46" t="str">
        <f>'Plan operativo'!D19</f>
        <v>2.4.4 Planificar el relevo generacional con perspectiva de género</v>
      </c>
      <c r="D22" s="46" t="str">
        <f>'Plan operativo'!I19</f>
        <v>2030</v>
      </c>
      <c r="E22" s="46">
        <f>'Plan operativo'!J19</f>
        <v>32</v>
      </c>
      <c r="F22" s="47">
        <f>'Plan operativo'!O19</f>
        <v>0</v>
      </c>
      <c r="G22" s="38"/>
      <c r="H22" s="38"/>
      <c r="I22" s="38"/>
      <c r="J22" s="38"/>
      <c r="K22" s="39"/>
      <c r="L22" s="38"/>
      <c r="M22" s="40"/>
      <c r="N22" s="40"/>
      <c r="O22" s="40"/>
      <c r="P22" s="40"/>
      <c r="Q22" s="41"/>
      <c r="R22" s="40"/>
      <c r="S22" s="42"/>
      <c r="T22" s="42"/>
      <c r="U22" s="42"/>
      <c r="V22" s="42"/>
      <c r="W22" s="43"/>
      <c r="X22" s="42"/>
      <c r="Y22" s="44"/>
      <c r="Z22" s="44"/>
      <c r="AA22" s="44"/>
      <c r="AB22" s="44"/>
      <c r="AC22" s="45"/>
      <c r="AD22" s="44"/>
    </row>
    <row r="23" spans="1:30" ht="18.75" customHeight="1">
      <c r="A23" s="36" t="str">
        <f>'Plan operativo'!A20</f>
        <v>3.1.1</v>
      </c>
      <c r="B23" s="36">
        <v>3</v>
      </c>
      <c r="C23" s="36" t="str">
        <f>'Plan operativo'!D20</f>
        <v>3.1.1 Formar al personal de gestión de personas en selección sin sesgos</v>
      </c>
      <c r="D23" s="36" t="str">
        <f>'Plan operativo'!I20</f>
        <v>2027</v>
      </c>
      <c r="E23" s="36">
        <f>'Plan operativo'!J20</f>
        <v>12</v>
      </c>
      <c r="F23" s="37">
        <f>'Plan operativo'!O20</f>
        <v>1200</v>
      </c>
      <c r="G23" s="38"/>
      <c r="H23" s="38"/>
      <c r="I23" s="38"/>
      <c r="J23" s="38"/>
      <c r="K23" s="39"/>
      <c r="L23" s="38"/>
      <c r="M23" s="40"/>
      <c r="N23" s="40"/>
      <c r="O23" s="40"/>
      <c r="P23" s="40"/>
      <c r="Q23" s="41"/>
      <c r="R23" s="40"/>
      <c r="S23" s="42"/>
      <c r="T23" s="42"/>
      <c r="U23" s="42"/>
      <c r="V23" s="42"/>
      <c r="W23" s="43"/>
      <c r="X23" s="42"/>
      <c r="Y23" s="44"/>
      <c r="Z23" s="44"/>
      <c r="AA23" s="44"/>
      <c r="AB23" s="44"/>
      <c r="AC23" s="45"/>
      <c r="AD23" s="44"/>
    </row>
    <row r="24" spans="1:30" ht="18.75" customHeight="1">
      <c r="A24" s="36" t="str">
        <f>'Plan operativo'!A21</f>
        <v>3.1.2</v>
      </c>
      <c r="B24" s="36">
        <v>3</v>
      </c>
      <c r="C24" s="36" t="str">
        <f>'Plan operativo'!D21</f>
        <v>3.1.2 Formar a la Comisión de Igualdad y al grupo motor</v>
      </c>
      <c r="D24" s="36" t="str">
        <f>'Plan operativo'!I21</f>
        <v>2028</v>
      </c>
      <c r="E24" s="36">
        <f>'Plan operativo'!J21</f>
        <v>10</v>
      </c>
      <c r="F24" s="37">
        <f>'Plan operativo'!O21</f>
        <v>900</v>
      </c>
      <c r="G24" s="38"/>
      <c r="H24" s="38"/>
      <c r="I24" s="38"/>
      <c r="J24" s="38"/>
      <c r="K24" s="39"/>
      <c r="L24" s="38"/>
      <c r="M24" s="40"/>
      <c r="N24" s="40"/>
      <c r="O24" s="40"/>
      <c r="P24" s="40"/>
      <c r="Q24" s="41"/>
      <c r="R24" s="40"/>
      <c r="S24" s="42"/>
      <c r="T24" s="42"/>
      <c r="U24" s="42"/>
      <c r="V24" s="42"/>
      <c r="W24" s="43"/>
      <c r="X24" s="42"/>
      <c r="Y24" s="44"/>
      <c r="Z24" s="44"/>
      <c r="AA24" s="44"/>
      <c r="AB24" s="44"/>
      <c r="AC24" s="45"/>
      <c r="AD24" s="44"/>
    </row>
    <row r="25" spans="1:30" ht="18.75" customHeight="1">
      <c r="A25" s="36" t="str">
        <f>'Plan operativo'!A22</f>
        <v>3.1.3</v>
      </c>
      <c r="B25" s="36">
        <v>3</v>
      </c>
      <c r="C25" s="36" t="str">
        <f>'Plan operativo'!D22</f>
        <v>3.1.3 Formar al personal de gestión de personas en valoración y retribución</v>
      </c>
      <c r="D25" s="36" t="str">
        <f>'Plan operativo'!I22</f>
        <v>2027</v>
      </c>
      <c r="E25" s="36">
        <f>'Plan operativo'!J22</f>
        <v>12</v>
      </c>
      <c r="F25" s="37">
        <f>'Plan operativo'!O22</f>
        <v>1200</v>
      </c>
      <c r="G25" s="38"/>
      <c r="H25" s="38"/>
      <c r="I25" s="38"/>
      <c r="J25" s="38"/>
      <c r="K25" s="39"/>
      <c r="L25" s="38"/>
      <c r="M25" s="40"/>
      <c r="N25" s="40"/>
      <c r="O25" s="40"/>
      <c r="P25" s="40"/>
      <c r="Q25" s="41"/>
      <c r="R25" s="40"/>
      <c r="S25" s="42"/>
      <c r="T25" s="42"/>
      <c r="U25" s="42"/>
      <c r="V25" s="42"/>
      <c r="W25" s="43"/>
      <c r="X25" s="42"/>
      <c r="Y25" s="44"/>
      <c r="Z25" s="44"/>
      <c r="AA25" s="44"/>
      <c r="AB25" s="44"/>
      <c r="AC25" s="45"/>
      <c r="AD25" s="44"/>
    </row>
    <row r="26" spans="1:30" ht="27.75" customHeight="1">
      <c r="A26" s="36" t="str">
        <f>'Plan operativo'!A23</f>
        <v>3.2.1</v>
      </c>
      <c r="B26" s="36">
        <v>3</v>
      </c>
      <c r="C26" s="36" t="str">
        <f>'Plan operativo'!D23</f>
        <v>3.2.1 Elaborar un plan de formación con perspectiva de género que incluya la formación en igualdad</v>
      </c>
      <c r="D26" s="36" t="str">
        <f>'Plan operativo'!I23</f>
        <v>2027</v>
      </c>
      <c r="E26" s="36">
        <f>'Plan operativo'!J23</f>
        <v>24</v>
      </c>
      <c r="F26" s="37">
        <f>'Plan operativo'!O23</f>
        <v>3500</v>
      </c>
      <c r="G26" s="38"/>
      <c r="H26" s="38"/>
      <c r="I26" s="38"/>
      <c r="J26" s="38"/>
      <c r="K26" s="39"/>
      <c r="L26" s="38"/>
      <c r="M26" s="40"/>
      <c r="N26" s="40"/>
      <c r="O26" s="40"/>
      <c r="P26" s="40"/>
      <c r="Q26" s="41"/>
      <c r="R26" s="40"/>
      <c r="S26" s="42"/>
      <c r="T26" s="42"/>
      <c r="U26" s="42"/>
      <c r="V26" s="42"/>
      <c r="W26" s="43"/>
      <c r="X26" s="42"/>
      <c r="Y26" s="44"/>
      <c r="Z26" s="44"/>
      <c r="AA26" s="44"/>
      <c r="AB26" s="44"/>
      <c r="AC26" s="45"/>
      <c r="AD26" s="44"/>
    </row>
    <row r="27" spans="1:30" ht="18.75" customHeight="1">
      <c r="A27" s="36" t="str">
        <f>'Plan operativo'!A24</f>
        <v>3.2.2</v>
      </c>
      <c r="B27" s="36">
        <v>3</v>
      </c>
      <c r="C27" s="36" t="str">
        <f>'Plan operativo'!D24</f>
        <v>3.2.2 Concretar y aprobar la programación formativa anual</v>
      </c>
      <c r="D27" s="36" t="str">
        <f>'Plan operativo'!I24</f>
        <v>Todos los años</v>
      </c>
      <c r="E27" s="36">
        <f>'Plan operativo'!J24</f>
        <v>28</v>
      </c>
      <c r="F27" s="37">
        <f>'Plan operativo'!O24</f>
        <v>0</v>
      </c>
      <c r="G27" s="38"/>
      <c r="H27" s="38"/>
      <c r="I27" s="38"/>
      <c r="J27" s="38"/>
      <c r="K27" s="39"/>
      <c r="L27" s="38"/>
      <c r="M27" s="40"/>
      <c r="N27" s="40"/>
      <c r="O27" s="40"/>
      <c r="P27" s="40"/>
      <c r="Q27" s="41"/>
      <c r="R27" s="40"/>
      <c r="S27" s="42"/>
      <c r="T27" s="42"/>
      <c r="U27" s="42"/>
      <c r="V27" s="42"/>
      <c r="W27" s="43"/>
      <c r="X27" s="42"/>
      <c r="Y27" s="44"/>
      <c r="Z27" s="44"/>
      <c r="AA27" s="44"/>
      <c r="AB27" s="44"/>
      <c r="AC27" s="45"/>
      <c r="AD27" s="44"/>
    </row>
    <row r="28" spans="1:30" ht="18.75" customHeight="1">
      <c r="A28" s="36" t="str">
        <f>'Plan operativo'!A25</f>
        <v>3.2.3</v>
      </c>
      <c r="B28" s="36">
        <v>3</v>
      </c>
      <c r="C28" s="36" t="str">
        <f>'Plan operativo'!D25</f>
        <v>3.2.3 Incorporar la perspectiva de género a la formación propia</v>
      </c>
      <c r="D28" s="36" t="str">
        <f>'Plan operativo'!I25</f>
        <v>Todos los años</v>
      </c>
      <c r="E28" s="36">
        <f>'Plan operativo'!J25</f>
        <v>20</v>
      </c>
      <c r="F28" s="37">
        <f>'Plan operativo'!O25</f>
        <v>0</v>
      </c>
      <c r="G28" s="38"/>
      <c r="H28" s="38"/>
      <c r="I28" s="38"/>
      <c r="J28" s="38"/>
      <c r="K28" s="39"/>
      <c r="L28" s="38"/>
      <c r="M28" s="40"/>
      <c r="N28" s="40"/>
      <c r="O28" s="40"/>
      <c r="P28" s="40"/>
      <c r="Q28" s="41"/>
      <c r="R28" s="40"/>
      <c r="S28" s="42"/>
      <c r="T28" s="42"/>
      <c r="U28" s="42"/>
      <c r="V28" s="42"/>
      <c r="W28" s="43"/>
      <c r="X28" s="42"/>
      <c r="Y28" s="44"/>
      <c r="Z28" s="44"/>
      <c r="AA28" s="44"/>
      <c r="AB28" s="44"/>
      <c r="AC28" s="45"/>
      <c r="AD28" s="44"/>
    </row>
    <row r="29" spans="1:30" ht="15" customHeight="1">
      <c r="A29" s="36" t="str">
        <f>'Plan operativo'!A26</f>
        <v>3.3.1</v>
      </c>
      <c r="B29" s="36">
        <v>3</v>
      </c>
      <c r="C29" s="36" t="str">
        <f>'Plan operativo'!D26</f>
        <v>3.3.1 Adaptar horarios y modalidades</v>
      </c>
      <c r="D29" s="36" t="str">
        <f>'Plan operativo'!I26</f>
        <v>Todos los años</v>
      </c>
      <c r="E29" s="36">
        <f>'Plan operativo'!J26</f>
        <v>12</v>
      </c>
      <c r="F29" s="37">
        <f>'Plan operativo'!O26</f>
        <v>0</v>
      </c>
      <c r="G29" s="38"/>
      <c r="H29" s="38"/>
      <c r="I29" s="38"/>
      <c r="J29" s="38"/>
      <c r="K29" s="39"/>
      <c r="L29" s="38"/>
      <c r="M29" s="40"/>
      <c r="N29" s="40"/>
      <c r="O29" s="40"/>
      <c r="P29" s="40"/>
      <c r="Q29" s="41"/>
      <c r="R29" s="40"/>
      <c r="S29" s="42"/>
      <c r="T29" s="42"/>
      <c r="U29" s="42"/>
      <c r="V29" s="42"/>
      <c r="W29" s="43"/>
      <c r="X29" s="42"/>
      <c r="Y29" s="44"/>
      <c r="Z29" s="44"/>
      <c r="AA29" s="44"/>
      <c r="AB29" s="44"/>
      <c r="AC29" s="45"/>
      <c r="AD29" s="44"/>
    </row>
    <row r="30" spans="1:30" ht="18.75" customHeight="1">
      <c r="A30" s="36" t="str">
        <f>'Plan operativo'!A27</f>
        <v>3.3.2</v>
      </c>
      <c r="B30" s="36">
        <v>3</v>
      </c>
      <c r="C30" s="36" t="str">
        <f>'Plan operativo'!D27</f>
        <v>3.3.2 Establecer un canal de comunicación para el personal sin acceso informático</v>
      </c>
      <c r="D30" s="36" t="str">
        <f>'Plan operativo'!I27</f>
        <v>2029</v>
      </c>
      <c r="E30" s="36">
        <f>'Plan operativo'!J27</f>
        <v>10</v>
      </c>
      <c r="F30" s="37">
        <f>'Plan operativo'!O27</f>
        <v>0</v>
      </c>
      <c r="G30" s="38"/>
      <c r="H30" s="38"/>
      <c r="I30" s="38"/>
      <c r="J30" s="38"/>
      <c r="K30" s="39"/>
      <c r="L30" s="38"/>
      <c r="M30" s="40"/>
      <c r="N30" s="40"/>
      <c r="O30" s="40"/>
      <c r="P30" s="40"/>
      <c r="Q30" s="41"/>
      <c r="R30" s="40"/>
      <c r="S30" s="42"/>
      <c r="T30" s="42"/>
      <c r="U30" s="42"/>
      <c r="V30" s="42"/>
      <c r="W30" s="43"/>
      <c r="X30" s="42"/>
      <c r="Y30" s="44"/>
      <c r="Z30" s="44"/>
      <c r="AA30" s="44"/>
      <c r="AB30" s="44"/>
      <c r="AC30" s="45"/>
      <c r="AD30" s="44"/>
    </row>
    <row r="31" spans="1:30" ht="27.75" customHeight="1">
      <c r="A31" s="36" t="str">
        <f>'Plan operativo'!A28</f>
        <v>3.3.3</v>
      </c>
      <c r="B31" s="36">
        <v>3</v>
      </c>
      <c r="C31" s="36" t="str">
        <f>'Plan operativo'!D28</f>
        <v>3.3.3 Formar a los puestos operativos y de limpieza en su puesto de trabajo con perspectiva de género</v>
      </c>
      <c r="D31" s="36" t="str">
        <f>'Plan operativo'!I28</f>
        <v>2028</v>
      </c>
      <c r="E31" s="36">
        <f>'Plan operativo'!J28</f>
        <v>12</v>
      </c>
      <c r="F31" s="37">
        <f>'Plan operativo'!O28</f>
        <v>1200</v>
      </c>
      <c r="G31" s="38"/>
      <c r="H31" s="38"/>
      <c r="I31" s="38"/>
      <c r="J31" s="38"/>
      <c r="K31" s="39"/>
      <c r="L31" s="38"/>
      <c r="M31" s="40"/>
      <c r="N31" s="40"/>
      <c r="O31" s="40"/>
      <c r="P31" s="40"/>
      <c r="Q31" s="41"/>
      <c r="R31" s="40"/>
      <c r="S31" s="42"/>
      <c r="T31" s="42"/>
      <c r="U31" s="42"/>
      <c r="V31" s="42"/>
      <c r="W31" s="43"/>
      <c r="X31" s="42"/>
      <c r="Y31" s="44"/>
      <c r="Z31" s="44"/>
      <c r="AA31" s="44"/>
      <c r="AB31" s="44"/>
      <c r="AC31" s="45"/>
      <c r="AD31" s="44"/>
    </row>
    <row r="32" spans="1:30" ht="18.75" customHeight="1">
      <c r="A32" s="36" t="str">
        <f>'Plan operativo'!A29</f>
        <v>3.4.1</v>
      </c>
      <c r="B32" s="36">
        <v>3</v>
      </c>
      <c r="C32" s="36" t="str">
        <f>'Plan operativo'!D29</f>
        <v>3.4.1 Registrar la participación en formación desagregada por sexo</v>
      </c>
      <c r="D32" s="36" t="str">
        <f>'Plan operativo'!I29</f>
        <v>Todos los años</v>
      </c>
      <c r="E32" s="36">
        <f>'Plan operativo'!J29</f>
        <v>12</v>
      </c>
      <c r="F32" s="37">
        <f>'Plan operativo'!O29</f>
        <v>0</v>
      </c>
      <c r="G32" s="38"/>
      <c r="H32" s="38"/>
      <c r="I32" s="38"/>
      <c r="J32" s="38"/>
      <c r="K32" s="39"/>
      <c r="L32" s="38"/>
      <c r="M32" s="40"/>
      <c r="N32" s="40"/>
      <c r="O32" s="40"/>
      <c r="P32" s="40"/>
      <c r="Q32" s="41"/>
      <c r="R32" s="40"/>
      <c r="S32" s="42"/>
      <c r="T32" s="42"/>
      <c r="U32" s="42"/>
      <c r="V32" s="42"/>
      <c r="W32" s="43"/>
      <c r="X32" s="42"/>
      <c r="Y32" s="44"/>
      <c r="Z32" s="44"/>
      <c r="AA32" s="44"/>
      <c r="AB32" s="44"/>
      <c r="AC32" s="45"/>
      <c r="AD32" s="44"/>
    </row>
    <row r="33" spans="1:30" ht="18.75" customHeight="1">
      <c r="A33" s="46" t="str">
        <f>'Plan operativo'!A30</f>
        <v>4.1.1</v>
      </c>
      <c r="B33" s="46">
        <v>4</v>
      </c>
      <c r="C33" s="46" t="str">
        <f>'Plan operativo'!D30</f>
        <v>4.1.1 Realizar la evaluación de riesgos psicosociales con perspectiva de género</v>
      </c>
      <c r="D33" s="46" t="str">
        <f>'Plan operativo'!I30</f>
        <v>2027</v>
      </c>
      <c r="E33" s="46">
        <f>'Plan operativo'!J30</f>
        <v>80</v>
      </c>
      <c r="F33" s="47">
        <f>'Plan operativo'!O30</f>
        <v>12000</v>
      </c>
      <c r="G33" s="38"/>
      <c r="H33" s="38"/>
      <c r="I33" s="38"/>
      <c r="J33" s="38"/>
      <c r="K33" s="39"/>
      <c r="L33" s="38"/>
      <c r="M33" s="40"/>
      <c r="N33" s="40"/>
      <c r="O33" s="40"/>
      <c r="P33" s="40"/>
      <c r="Q33" s="41"/>
      <c r="R33" s="40"/>
      <c r="S33" s="42"/>
      <c r="T33" s="42"/>
      <c r="U33" s="42"/>
      <c r="V33" s="42"/>
      <c r="W33" s="43"/>
      <c r="X33" s="42"/>
      <c r="Y33" s="44"/>
      <c r="Z33" s="44"/>
      <c r="AA33" s="44"/>
      <c r="AB33" s="44"/>
      <c r="AC33" s="45"/>
      <c r="AD33" s="44"/>
    </row>
    <row r="34" spans="1:30" ht="27.75" customHeight="1">
      <c r="A34" s="46" t="str">
        <f>'Plan operativo'!A31</f>
        <v>4.1.2</v>
      </c>
      <c r="B34" s="46">
        <v>4</v>
      </c>
      <c r="C34" s="46" t="str">
        <f>'Plan operativo'!D31</f>
        <v>4.1.2 Incorporar la variable sexo y los riesgos de los servicios feminizados a la evaluación de riesgos</v>
      </c>
      <c r="D34" s="46" t="str">
        <f>'Plan operativo'!I31</f>
        <v>2027</v>
      </c>
      <c r="E34" s="46">
        <f>'Plan operativo'!J31</f>
        <v>28</v>
      </c>
      <c r="F34" s="47">
        <f>'Plan operativo'!O31</f>
        <v>0</v>
      </c>
      <c r="G34" s="38"/>
      <c r="H34" s="38"/>
      <c r="I34" s="38"/>
      <c r="J34" s="38"/>
      <c r="K34" s="39"/>
      <c r="L34" s="38"/>
      <c r="M34" s="40"/>
      <c r="N34" s="40"/>
      <c r="O34" s="40"/>
      <c r="P34" s="40"/>
      <c r="Q34" s="41"/>
      <c r="R34" s="40"/>
      <c r="S34" s="42"/>
      <c r="T34" s="42"/>
      <c r="U34" s="42"/>
      <c r="V34" s="42"/>
      <c r="W34" s="43"/>
      <c r="X34" s="42"/>
      <c r="Y34" s="44"/>
      <c r="Z34" s="44"/>
      <c r="AA34" s="44"/>
      <c r="AB34" s="44"/>
      <c r="AC34" s="45"/>
      <c r="AD34" s="44"/>
    </row>
    <row r="35" spans="1:30" ht="18.75" customHeight="1">
      <c r="A35" s="46" t="str">
        <f>'Plan operativo'!A32</f>
        <v>4.1.3</v>
      </c>
      <c r="B35" s="46">
        <v>4</v>
      </c>
      <c r="C35" s="46" t="str">
        <f>'Plan operativo'!D32</f>
        <v>4.1.3 Rehacer el plan de prevención incorporando la perspectiva de género</v>
      </c>
      <c r="D35" s="46" t="str">
        <f>'Plan operativo'!I32</f>
        <v>2028</v>
      </c>
      <c r="E35" s="46">
        <f>'Plan operativo'!J32</f>
        <v>20</v>
      </c>
      <c r="F35" s="47">
        <f>'Plan operativo'!O32</f>
        <v>0</v>
      </c>
      <c r="G35" s="38"/>
      <c r="H35" s="38"/>
      <c r="I35" s="38"/>
      <c r="J35" s="38"/>
      <c r="K35" s="39"/>
      <c r="L35" s="38"/>
      <c r="M35" s="40"/>
      <c r="N35" s="40"/>
      <c r="O35" s="40"/>
      <c r="P35" s="40"/>
      <c r="Q35" s="41"/>
      <c r="R35" s="40"/>
      <c r="S35" s="42"/>
      <c r="T35" s="42"/>
      <c r="U35" s="42"/>
      <c r="V35" s="42"/>
      <c r="W35" s="43"/>
      <c r="X35" s="42"/>
      <c r="Y35" s="44"/>
      <c r="Z35" s="44"/>
      <c r="AA35" s="44"/>
      <c r="AB35" s="44"/>
      <c r="AC35" s="45"/>
      <c r="AD35" s="44"/>
    </row>
    <row r="36" spans="1:30" ht="27.75" customHeight="1">
      <c r="A36" s="46" t="str">
        <f>'Plan operativo'!A33</f>
        <v>4.1.4</v>
      </c>
      <c r="B36" s="46">
        <v>4</v>
      </c>
      <c r="C36" s="46" t="str">
        <f>'Plan operativo'!D33</f>
        <v>4.1.4 Formar cada año en un aspecto de seguridad y salud laboral con perspectiva de género</v>
      </c>
      <c r="D36" s="46" t="str">
        <f>'Plan operativo'!I33</f>
        <v>Todos los años</v>
      </c>
      <c r="E36" s="46">
        <f>'Plan operativo'!J33</f>
        <v>10</v>
      </c>
      <c r="F36" s="47">
        <f>'Plan operativo'!O33</f>
        <v>600</v>
      </c>
      <c r="G36" s="38"/>
      <c r="H36" s="38"/>
      <c r="I36" s="38"/>
      <c r="J36" s="38"/>
      <c r="K36" s="39"/>
      <c r="L36" s="38"/>
      <c r="M36" s="40"/>
      <c r="N36" s="40"/>
      <c r="O36" s="40"/>
      <c r="P36" s="40"/>
      <c r="Q36" s="41"/>
      <c r="R36" s="40"/>
      <c r="S36" s="42"/>
      <c r="T36" s="42"/>
      <c r="U36" s="42"/>
      <c r="V36" s="42"/>
      <c r="W36" s="43"/>
      <c r="X36" s="42"/>
      <c r="Y36" s="44"/>
      <c r="Z36" s="44"/>
      <c r="AA36" s="44"/>
      <c r="AB36" s="44"/>
      <c r="AC36" s="45"/>
      <c r="AD36" s="44"/>
    </row>
    <row r="37" spans="1:30" ht="27.75" customHeight="1">
      <c r="A37" s="46" t="str">
        <f>'Plan operativo'!A34</f>
        <v>4.2.1</v>
      </c>
      <c r="B37" s="46">
        <v>4</v>
      </c>
      <c r="C37" s="46" t="str">
        <f>'Plan operativo'!D34</f>
        <v>4.2.1 Introducir cláusulas de igualdad en la contratación del servicio de prevención y verificar su cumplimiento</v>
      </c>
      <c r="D37" s="46" t="str">
        <f>'Plan operativo'!I34</f>
        <v>2029</v>
      </c>
      <c r="E37" s="46">
        <f>'Plan operativo'!J34</f>
        <v>16</v>
      </c>
      <c r="F37" s="47">
        <f>'Plan operativo'!O34</f>
        <v>0</v>
      </c>
      <c r="G37" s="38"/>
      <c r="H37" s="38"/>
      <c r="I37" s="38"/>
      <c r="J37" s="38"/>
      <c r="K37" s="39"/>
      <c r="L37" s="38"/>
      <c r="M37" s="40"/>
      <c r="N37" s="40"/>
      <c r="O37" s="40"/>
      <c r="P37" s="40"/>
      <c r="Q37" s="41"/>
      <c r="R37" s="40"/>
      <c r="S37" s="42"/>
      <c r="T37" s="42"/>
      <c r="U37" s="42"/>
      <c r="V37" s="42"/>
      <c r="W37" s="43"/>
      <c r="X37" s="42"/>
      <c r="Y37" s="44"/>
      <c r="Z37" s="44"/>
      <c r="AA37" s="44"/>
      <c r="AB37" s="44"/>
      <c r="AC37" s="45"/>
      <c r="AD37" s="44"/>
    </row>
    <row r="38" spans="1:30" ht="18.75" customHeight="1">
      <c r="A38" s="46" t="str">
        <f>'Plan operativo'!A35</f>
        <v>4.3.1</v>
      </c>
      <c r="B38" s="46">
        <v>4</v>
      </c>
      <c r="C38" s="46" t="str">
        <f>'Plan operativo'!D35</f>
        <v>4.3.1 Constituir el Comité de Seguridad y Salud e incorporarlo a la planificación de las acciones</v>
      </c>
      <c r="D38" s="46" t="str">
        <f>'Plan operativo'!I35</f>
        <v>2028</v>
      </c>
      <c r="E38" s="46">
        <f>'Plan operativo'!J35</f>
        <v>10</v>
      </c>
      <c r="F38" s="47">
        <f>'Plan operativo'!O35</f>
        <v>600</v>
      </c>
      <c r="G38" s="38"/>
      <c r="H38" s="38"/>
      <c r="I38" s="38"/>
      <c r="J38" s="38"/>
      <c r="K38" s="39"/>
      <c r="L38" s="38"/>
      <c r="M38" s="40"/>
      <c r="N38" s="40"/>
      <c r="O38" s="40"/>
      <c r="P38" s="40"/>
      <c r="Q38" s="41"/>
      <c r="R38" s="40"/>
      <c r="S38" s="42"/>
      <c r="T38" s="42"/>
      <c r="U38" s="42"/>
      <c r="V38" s="42"/>
      <c r="W38" s="43"/>
      <c r="X38" s="42"/>
      <c r="Y38" s="44"/>
      <c r="Z38" s="44"/>
      <c r="AA38" s="44"/>
      <c r="AB38" s="44"/>
      <c r="AC38" s="45"/>
      <c r="AD38" s="44"/>
    </row>
    <row r="39" spans="1:30" ht="18.75" customHeight="1">
      <c r="A39" s="46" t="str">
        <f>'Plan operativo'!A36</f>
        <v>4.3.2</v>
      </c>
      <c r="B39" s="46">
        <v>4</v>
      </c>
      <c r="C39" s="46" t="str">
        <f>'Plan operativo'!D36</f>
        <v>4.3.2 Garantizar que la información preventiva alcance a toda la plantilla</v>
      </c>
      <c r="D39" s="46" t="str">
        <f>'Plan operativo'!I36</f>
        <v>Todos los años</v>
      </c>
      <c r="E39" s="46">
        <f>'Plan operativo'!J36</f>
        <v>10</v>
      </c>
      <c r="F39" s="47">
        <f>'Plan operativo'!O36</f>
        <v>0</v>
      </c>
      <c r="G39" s="38"/>
      <c r="H39" s="38"/>
      <c r="I39" s="38"/>
      <c r="J39" s="38"/>
      <c r="K39" s="39"/>
      <c r="L39" s="38"/>
      <c r="M39" s="40"/>
      <c r="N39" s="40"/>
      <c r="O39" s="40"/>
      <c r="P39" s="40"/>
      <c r="Q39" s="41"/>
      <c r="R39" s="40"/>
      <c r="S39" s="42"/>
      <c r="T39" s="42"/>
      <c r="U39" s="42"/>
      <c r="V39" s="42"/>
      <c r="W39" s="43"/>
      <c r="X39" s="42"/>
      <c r="Y39" s="44"/>
      <c r="Z39" s="44"/>
      <c r="AA39" s="44"/>
      <c r="AB39" s="44"/>
      <c r="AC39" s="45"/>
      <c r="AD39" s="44"/>
    </row>
    <row r="40" spans="1:30" ht="18.75" customHeight="1">
      <c r="A40" s="36" t="str">
        <f>'Plan operativo'!A37</f>
        <v>5.1.1</v>
      </c>
      <c r="B40" s="36">
        <v>5</v>
      </c>
      <c r="C40" s="36" t="str">
        <f>'Plan operativo'!D37</f>
        <v>5.1.1 Solicitar a la empresa adjudicataria la corrección del proyecto de valoración</v>
      </c>
      <c r="D40" s="36" t="str">
        <f>'Plan operativo'!I37</f>
        <v>2027</v>
      </c>
      <c r="E40" s="36">
        <f>'Plan operativo'!J37</f>
        <v>28</v>
      </c>
      <c r="F40" s="37">
        <f>'Plan operativo'!O37</f>
        <v>6000</v>
      </c>
      <c r="G40" s="38"/>
      <c r="H40" s="38"/>
      <c r="I40" s="38"/>
      <c r="J40" s="38"/>
      <c r="K40" s="39"/>
      <c r="L40" s="38"/>
      <c r="M40" s="40"/>
      <c r="N40" s="40"/>
      <c r="O40" s="40"/>
      <c r="P40" s="40"/>
      <c r="Q40" s="41"/>
      <c r="R40" s="40"/>
      <c r="S40" s="42"/>
      <c r="T40" s="42"/>
      <c r="U40" s="42"/>
      <c r="V40" s="42"/>
      <c r="W40" s="43"/>
      <c r="X40" s="42"/>
      <c r="Y40" s="44"/>
      <c r="Z40" s="44"/>
      <c r="AA40" s="44"/>
      <c r="AB40" s="44"/>
      <c r="AC40" s="45"/>
      <c r="AD40" s="44"/>
    </row>
    <row r="41" spans="1:30" ht="18.75" customHeight="1">
      <c r="A41" s="36" t="str">
        <f>'Plan operativo'!A38</f>
        <v>5.1.2</v>
      </c>
      <c r="B41" s="36">
        <v>5</v>
      </c>
      <c r="C41" s="36" t="str">
        <f>'Plan operativo'!D38</f>
        <v>5.1.2 Condicionar la valoración a la previa evaluación de riesgos psicosociales</v>
      </c>
      <c r="D41" s="36" t="str">
        <f>'Plan operativo'!I38</f>
        <v>2027</v>
      </c>
      <c r="E41" s="36">
        <f>'Plan operativo'!J38</f>
        <v>12</v>
      </c>
      <c r="F41" s="37">
        <f>'Plan operativo'!O38</f>
        <v>0</v>
      </c>
      <c r="G41" s="38"/>
      <c r="H41" s="38"/>
      <c r="I41" s="38"/>
      <c r="J41" s="38"/>
      <c r="K41" s="39"/>
      <c r="L41" s="38"/>
      <c r="M41" s="40"/>
      <c r="N41" s="40"/>
      <c r="O41" s="40"/>
      <c r="P41" s="40"/>
      <c r="Q41" s="41"/>
      <c r="R41" s="40"/>
      <c r="S41" s="42"/>
      <c r="T41" s="42"/>
      <c r="U41" s="42"/>
      <c r="V41" s="42"/>
      <c r="W41" s="43"/>
      <c r="X41" s="42"/>
      <c r="Y41" s="44"/>
      <c r="Z41" s="44"/>
      <c r="AA41" s="44"/>
      <c r="AB41" s="44"/>
      <c r="AC41" s="45"/>
      <c r="AD41" s="44"/>
    </row>
    <row r="42" spans="1:30" ht="18.75" customHeight="1">
      <c r="A42" s="36" t="str">
        <f>'Plan operativo'!A39</f>
        <v>5.1.3</v>
      </c>
      <c r="B42" s="36">
        <v>5</v>
      </c>
      <c r="C42" s="36" t="str">
        <f>'Plan operativo'!D39</f>
        <v>5.1.3 Garantizar la participación informada de las mujeres en la negociación de la valoración</v>
      </c>
      <c r="D42" s="36" t="str">
        <f>'Plan operativo'!I39</f>
        <v>2028</v>
      </c>
      <c r="E42" s="36">
        <f>'Plan operativo'!J39</f>
        <v>20</v>
      </c>
      <c r="F42" s="37">
        <f>'Plan operativo'!O39</f>
        <v>0</v>
      </c>
      <c r="G42" s="38"/>
      <c r="H42" s="38"/>
      <c r="I42" s="38"/>
      <c r="J42" s="38"/>
      <c r="K42" s="39"/>
      <c r="L42" s="38"/>
      <c r="M42" s="40"/>
      <c r="N42" s="40"/>
      <c r="O42" s="40"/>
      <c r="P42" s="40"/>
      <c r="Q42" s="41"/>
      <c r="R42" s="40"/>
      <c r="S42" s="42"/>
      <c r="T42" s="42"/>
      <c r="U42" s="42"/>
      <c r="V42" s="42"/>
      <c r="W42" s="43"/>
      <c r="X42" s="42"/>
      <c r="Y42" s="44"/>
      <c r="Z42" s="44"/>
      <c r="AA42" s="44"/>
      <c r="AB42" s="44"/>
      <c r="AC42" s="45"/>
      <c r="AD42" s="44"/>
    </row>
    <row r="43" spans="1:30" ht="18.75" customHeight="1">
      <c r="A43" s="36" t="str">
        <f>'Plan operativo'!A40</f>
        <v>5.2.1</v>
      </c>
      <c r="B43" s="36">
        <v>5</v>
      </c>
      <c r="C43" s="36" t="str">
        <f>'Plan operativo'!D40</f>
        <v>5.2.1 Crear la plaza de personal técnico de igualdad en la RPT</v>
      </c>
      <c r="D43" s="36" t="str">
        <f>'Plan operativo'!I40</f>
        <v>2029</v>
      </c>
      <c r="E43" s="36">
        <f>'Plan operativo'!J40</f>
        <v>28</v>
      </c>
      <c r="F43" s="37">
        <f>'Plan operativo'!O40</f>
        <v>0</v>
      </c>
      <c r="G43" s="38"/>
      <c r="H43" s="38"/>
      <c r="I43" s="38"/>
      <c r="J43" s="38"/>
      <c r="K43" s="39"/>
      <c r="L43" s="38"/>
      <c r="M43" s="40"/>
      <c r="N43" s="40"/>
      <c r="O43" s="40"/>
      <c r="P43" s="40"/>
      <c r="Q43" s="41"/>
      <c r="R43" s="40"/>
      <c r="S43" s="42"/>
      <c r="T43" s="42"/>
      <c r="U43" s="42"/>
      <c r="V43" s="42"/>
      <c r="W43" s="43"/>
      <c r="X43" s="42"/>
      <c r="Y43" s="44"/>
      <c r="Z43" s="44"/>
      <c r="AA43" s="44"/>
      <c r="AB43" s="44"/>
      <c r="AC43" s="45"/>
      <c r="AD43" s="44"/>
    </row>
    <row r="44" spans="1:30" ht="15" customHeight="1">
      <c r="A44" s="36" t="str">
        <f>'Plan operativo'!A41</f>
        <v>5.2.2</v>
      </c>
      <c r="B44" s="36">
        <v>5</v>
      </c>
      <c r="C44" s="36" t="str">
        <f>'Plan operativo'!D41</f>
        <v>5.2.2 Adscribir la unidad de igualdad a la Alcaldía</v>
      </c>
      <c r="D44" s="36" t="str">
        <f>'Plan operativo'!I41</f>
        <v>2029</v>
      </c>
      <c r="E44" s="36">
        <f>'Plan operativo'!J41</f>
        <v>10</v>
      </c>
      <c r="F44" s="37">
        <f>'Plan operativo'!O41</f>
        <v>0</v>
      </c>
      <c r="G44" s="38"/>
      <c r="H44" s="38"/>
      <c r="I44" s="38"/>
      <c r="J44" s="38"/>
      <c r="K44" s="39"/>
      <c r="L44" s="38"/>
      <c r="M44" s="40"/>
      <c r="N44" s="40"/>
      <c r="O44" s="40"/>
      <c r="P44" s="40"/>
      <c r="Q44" s="41"/>
      <c r="R44" s="40"/>
      <c r="S44" s="42"/>
      <c r="T44" s="42"/>
      <c r="U44" s="42"/>
      <c r="V44" s="42"/>
      <c r="W44" s="43"/>
      <c r="X44" s="42"/>
      <c r="Y44" s="44"/>
      <c r="Z44" s="44"/>
      <c r="AA44" s="44"/>
      <c r="AB44" s="44"/>
      <c r="AC44" s="45"/>
      <c r="AD44" s="44"/>
    </row>
    <row r="45" spans="1:30" ht="18.75" customHeight="1">
      <c r="A45" s="36" t="str">
        <f>'Plan operativo'!A42</f>
        <v>5.3.1</v>
      </c>
      <c r="B45" s="36">
        <v>5</v>
      </c>
      <c r="C45" s="36" t="str">
        <f>'Plan operativo'!D42</f>
        <v>5.3.1 Realizar la auditoría retributiva y actualizar el registro</v>
      </c>
      <c r="D45" s="36" t="str">
        <f>'Plan operativo'!I42</f>
        <v>2029</v>
      </c>
      <c r="E45" s="36">
        <f>'Plan operativo'!J42</f>
        <v>32</v>
      </c>
      <c r="F45" s="37">
        <f>'Plan operativo'!O42</f>
        <v>5000</v>
      </c>
      <c r="G45" s="38"/>
      <c r="H45" s="38"/>
      <c r="I45" s="38"/>
      <c r="J45" s="38"/>
      <c r="K45" s="39"/>
      <c r="L45" s="38"/>
      <c r="M45" s="40"/>
      <c r="N45" s="40"/>
      <c r="O45" s="40"/>
      <c r="P45" s="40"/>
      <c r="Q45" s="41"/>
      <c r="R45" s="40"/>
      <c r="S45" s="42"/>
      <c r="T45" s="42"/>
      <c r="U45" s="42"/>
      <c r="V45" s="42"/>
      <c r="W45" s="43"/>
      <c r="X45" s="42"/>
      <c r="Y45" s="44"/>
      <c r="Z45" s="44"/>
      <c r="AA45" s="44"/>
      <c r="AB45" s="44"/>
      <c r="AC45" s="45"/>
      <c r="AD45" s="44"/>
    </row>
    <row r="46" spans="1:30" ht="18.75" customHeight="1">
      <c r="A46" s="36" t="str">
        <f>'Plan operativo'!A43</f>
        <v>5.3.2</v>
      </c>
      <c r="B46" s="36">
        <v>5</v>
      </c>
      <c r="C46" s="36" t="str">
        <f>'Plan operativo'!D43</f>
        <v>5.3.2 Desarrollar una política de transparencia retributiva</v>
      </c>
      <c r="D46" s="36" t="str">
        <f>'Plan operativo'!I43</f>
        <v>Todos los años</v>
      </c>
      <c r="E46" s="36">
        <f>'Plan operativo'!J43</f>
        <v>16</v>
      </c>
      <c r="F46" s="37">
        <f>'Plan operativo'!O43</f>
        <v>0</v>
      </c>
      <c r="G46" s="38"/>
      <c r="H46" s="38"/>
      <c r="I46" s="38"/>
      <c r="J46" s="38"/>
      <c r="K46" s="39"/>
      <c r="L46" s="38"/>
      <c r="M46" s="40"/>
      <c r="N46" s="40"/>
      <c r="O46" s="40"/>
      <c r="P46" s="40"/>
      <c r="Q46" s="41"/>
      <c r="R46" s="40"/>
      <c r="S46" s="42"/>
      <c r="T46" s="42"/>
      <c r="U46" s="42"/>
      <c r="V46" s="42"/>
      <c r="W46" s="43"/>
      <c r="X46" s="42"/>
      <c r="Y46" s="44"/>
      <c r="Z46" s="44"/>
      <c r="AA46" s="44"/>
      <c r="AB46" s="44"/>
      <c r="AC46" s="45"/>
      <c r="AD46" s="44"/>
    </row>
    <row r="47" spans="1:30" ht="18.75" customHeight="1">
      <c r="A47" s="46" t="str">
        <f>'Plan operativo'!A44</f>
        <v>6.1.1</v>
      </c>
      <c r="B47" s="46">
        <v>6</v>
      </c>
      <c r="C47" s="46" t="str">
        <f>'Plan operativo'!D44</f>
        <v>6.1.1 Difundir un catálogo de medidas de conciliación</v>
      </c>
      <c r="D47" s="46" t="str">
        <f>'Plan operativo'!I44</f>
        <v>2029</v>
      </c>
      <c r="E47" s="46">
        <f>'Plan operativo'!J44</f>
        <v>16</v>
      </c>
      <c r="F47" s="47">
        <f>'Plan operativo'!O44</f>
        <v>0</v>
      </c>
      <c r="G47" s="38"/>
      <c r="H47" s="38"/>
      <c r="I47" s="38"/>
      <c r="J47" s="38"/>
      <c r="K47" s="39"/>
      <c r="L47" s="38"/>
      <c r="M47" s="40"/>
      <c r="N47" s="40"/>
      <c r="O47" s="40"/>
      <c r="P47" s="40"/>
      <c r="Q47" s="41"/>
      <c r="R47" s="40"/>
      <c r="S47" s="42"/>
      <c r="T47" s="42"/>
      <c r="U47" s="42"/>
      <c r="V47" s="42"/>
      <c r="W47" s="43"/>
      <c r="X47" s="42"/>
      <c r="Y47" s="44"/>
      <c r="Z47" s="44"/>
      <c r="AA47" s="44"/>
      <c r="AB47" s="44"/>
      <c r="AC47" s="45"/>
      <c r="AD47" s="44"/>
    </row>
    <row r="48" spans="1:30" ht="18.75" customHeight="1">
      <c r="A48" s="46" t="str">
        <f>'Plan operativo'!A45</f>
        <v>6.1.2</v>
      </c>
      <c r="B48" s="46">
        <v>6</v>
      </c>
      <c r="C48" s="46" t="str">
        <f>'Plan operativo'!D45</f>
        <v>6.1.2 Sensibilizar en corresponsabilidad, con atención a los hombres</v>
      </c>
      <c r="D48" s="46" t="str">
        <f>'Plan operativo'!I45</f>
        <v>2028</v>
      </c>
      <c r="E48" s="46">
        <f>'Plan operativo'!J45</f>
        <v>12</v>
      </c>
      <c r="F48" s="47">
        <f>'Plan operativo'!O45</f>
        <v>0</v>
      </c>
      <c r="G48" s="38"/>
      <c r="H48" s="38"/>
      <c r="I48" s="38"/>
      <c r="J48" s="38"/>
      <c r="K48" s="39"/>
      <c r="L48" s="38"/>
      <c r="M48" s="40"/>
      <c r="N48" s="40"/>
      <c r="O48" s="40"/>
      <c r="P48" s="40"/>
      <c r="Q48" s="41"/>
      <c r="R48" s="40"/>
      <c r="S48" s="42"/>
      <c r="T48" s="42"/>
      <c r="U48" s="42"/>
      <c r="V48" s="42"/>
      <c r="W48" s="43"/>
      <c r="X48" s="42"/>
      <c r="Y48" s="44"/>
      <c r="Z48" s="44"/>
      <c r="AA48" s="44"/>
      <c r="AB48" s="44"/>
      <c r="AC48" s="45"/>
      <c r="AD48" s="44"/>
    </row>
    <row r="49" spans="1:30" ht="27.75" customHeight="1">
      <c r="A49" s="46" t="str">
        <f>'Plan operativo'!A46</f>
        <v>6.2.1</v>
      </c>
      <c r="B49" s="46">
        <v>6</v>
      </c>
      <c r="C49" s="46" t="str">
        <f>'Plan operativo'!D46</f>
        <v>6.2.1 Incorporar la perspectiva de género y la desconexión digital a la revisión del teletrabajo en curso</v>
      </c>
      <c r="D49" s="46" t="str">
        <f>'Plan operativo'!I46</f>
        <v>2027</v>
      </c>
      <c r="E49" s="46">
        <f>'Plan operativo'!J46</f>
        <v>20</v>
      </c>
      <c r="F49" s="47">
        <f>'Plan operativo'!O46</f>
        <v>0</v>
      </c>
      <c r="G49" s="38"/>
      <c r="H49" s="38"/>
      <c r="I49" s="38"/>
      <c r="J49" s="38"/>
      <c r="K49" s="39"/>
      <c r="L49" s="38"/>
      <c r="M49" s="40"/>
      <c r="N49" s="40"/>
      <c r="O49" s="40"/>
      <c r="P49" s="40"/>
      <c r="Q49" s="41"/>
      <c r="R49" s="40"/>
      <c r="S49" s="42"/>
      <c r="T49" s="42"/>
      <c r="U49" s="42"/>
      <c r="V49" s="42"/>
      <c r="W49" s="43"/>
      <c r="X49" s="42"/>
      <c r="Y49" s="44"/>
      <c r="Z49" s="44"/>
      <c r="AA49" s="44"/>
      <c r="AB49" s="44"/>
      <c r="AC49" s="45"/>
      <c r="AD49" s="44"/>
    </row>
    <row r="50" spans="1:30" ht="18.75" customHeight="1">
      <c r="A50" s="46" t="str">
        <f>'Plan operativo'!A47</f>
        <v>6.2.2</v>
      </c>
      <c r="B50" s="46">
        <v>6</v>
      </c>
      <c r="C50" s="46" t="str">
        <f>'Plan operativo'!D47</f>
        <v>6.2.2 Ordenar la flexibilidad horaria con criterios objetivos</v>
      </c>
      <c r="D50" s="46" t="str">
        <f>'Plan operativo'!I47</f>
        <v>2029</v>
      </c>
      <c r="E50" s="46">
        <f>'Plan operativo'!J47</f>
        <v>16</v>
      </c>
      <c r="F50" s="47">
        <f>'Plan operativo'!O47</f>
        <v>0</v>
      </c>
      <c r="G50" s="38"/>
      <c r="H50" s="38"/>
      <c r="I50" s="38"/>
      <c r="J50" s="38"/>
      <c r="K50" s="39"/>
      <c r="L50" s="38"/>
      <c r="M50" s="40"/>
      <c r="N50" s="40"/>
      <c r="O50" s="40"/>
      <c r="P50" s="40"/>
      <c r="Q50" s="41"/>
      <c r="R50" s="40"/>
      <c r="S50" s="42"/>
      <c r="T50" s="42"/>
      <c r="U50" s="42"/>
      <c r="V50" s="42"/>
      <c r="W50" s="43"/>
      <c r="X50" s="42"/>
      <c r="Y50" s="44"/>
      <c r="Z50" s="44"/>
      <c r="AA50" s="44"/>
      <c r="AB50" s="44"/>
      <c r="AC50" s="45"/>
      <c r="AD50" s="44"/>
    </row>
    <row r="51" spans="1:30" ht="18.75" customHeight="1">
      <c r="A51" s="46" t="str">
        <f>'Plan operativo'!A48</f>
        <v>6.3.1</v>
      </c>
      <c r="B51" s="46">
        <v>6</v>
      </c>
      <c r="C51" s="46" t="str">
        <f>'Plan operativo'!D48</f>
        <v>6.3.1 Registrar el uso de las medidas por sexo y motivo</v>
      </c>
      <c r="D51" s="46" t="str">
        <f>'Plan operativo'!I48</f>
        <v>2028</v>
      </c>
      <c r="E51" s="46">
        <f>'Plan operativo'!J48</f>
        <v>16</v>
      </c>
      <c r="F51" s="47">
        <f>'Plan operativo'!O48</f>
        <v>0</v>
      </c>
      <c r="G51" s="38"/>
      <c r="H51" s="38"/>
      <c r="I51" s="38"/>
      <c r="J51" s="38"/>
      <c r="K51" s="39"/>
      <c r="L51" s="38"/>
      <c r="M51" s="40"/>
      <c r="N51" s="40"/>
      <c r="O51" s="40"/>
      <c r="P51" s="40"/>
      <c r="Q51" s="41"/>
      <c r="R51" s="40"/>
      <c r="S51" s="42"/>
      <c r="T51" s="42"/>
      <c r="U51" s="42"/>
      <c r="V51" s="42"/>
      <c r="W51" s="43"/>
      <c r="X51" s="42"/>
      <c r="Y51" s="44"/>
      <c r="Z51" s="44"/>
      <c r="AA51" s="44"/>
      <c r="AB51" s="44"/>
      <c r="AC51" s="45"/>
      <c r="AD51" s="44"/>
    </row>
    <row r="52" spans="1:30" ht="18.75" customHeight="1">
      <c r="A52" s="46" t="str">
        <f>'Plan operativo'!A49</f>
        <v>6.3.2</v>
      </c>
      <c r="B52" s="46">
        <v>6</v>
      </c>
      <c r="C52" s="46" t="str">
        <f>'Plan operativo'!D49</f>
        <v>6.3.2 Elaborar un informe periódico sobre conciliación</v>
      </c>
      <c r="D52" s="46" t="str">
        <f>'Plan operativo'!I49</f>
        <v>Todos los años</v>
      </c>
      <c r="E52" s="46">
        <f>'Plan operativo'!J49</f>
        <v>12</v>
      </c>
      <c r="F52" s="47">
        <f>'Plan operativo'!O49</f>
        <v>0</v>
      </c>
      <c r="G52" s="38"/>
      <c r="H52" s="38"/>
      <c r="I52" s="38"/>
      <c r="J52" s="38"/>
      <c r="K52" s="39"/>
      <c r="L52" s="38"/>
      <c r="M52" s="40"/>
      <c r="N52" s="40"/>
      <c r="O52" s="40"/>
      <c r="P52" s="40"/>
      <c r="Q52" s="41"/>
      <c r="R52" s="40"/>
      <c r="S52" s="42"/>
      <c r="T52" s="42"/>
      <c r="U52" s="42"/>
      <c r="V52" s="42"/>
      <c r="W52" s="43"/>
      <c r="X52" s="42"/>
      <c r="Y52" s="44"/>
      <c r="Z52" s="44"/>
      <c r="AA52" s="44"/>
      <c r="AB52" s="44"/>
      <c r="AC52" s="45"/>
      <c r="AD52" s="44"/>
    </row>
    <row r="53" spans="1:30" ht="18.75" customHeight="1">
      <c r="A53" s="36" t="str">
        <f>'Plan operativo'!A50</f>
        <v>7.1.1</v>
      </c>
      <c r="B53" s="36">
        <v>7</v>
      </c>
      <c r="C53" s="36" t="str">
        <f>'Plan operativo'!D50</f>
        <v>7.1.1 Realizar un análisis de la cultura y los valores organizativos</v>
      </c>
      <c r="D53" s="36" t="str">
        <f>'Plan operativo'!I50</f>
        <v>2028</v>
      </c>
      <c r="E53" s="36">
        <f>'Plan operativo'!J50</f>
        <v>28</v>
      </c>
      <c r="F53" s="37">
        <f>'Plan operativo'!O50</f>
        <v>10000</v>
      </c>
      <c r="G53" s="38"/>
      <c r="H53" s="38"/>
      <c r="I53" s="38"/>
      <c r="J53" s="38"/>
      <c r="K53" s="39"/>
      <c r="L53" s="38"/>
      <c r="M53" s="40"/>
      <c r="N53" s="40"/>
      <c r="O53" s="40"/>
      <c r="P53" s="40"/>
      <c r="Q53" s="41"/>
      <c r="R53" s="40"/>
      <c r="S53" s="42"/>
      <c r="T53" s="42"/>
      <c r="U53" s="42"/>
      <c r="V53" s="42"/>
      <c r="W53" s="43"/>
      <c r="X53" s="42"/>
      <c r="Y53" s="44"/>
      <c r="Z53" s="44"/>
      <c r="AA53" s="44"/>
      <c r="AB53" s="44"/>
      <c r="AC53" s="45"/>
      <c r="AD53" s="44"/>
    </row>
    <row r="54" spans="1:30" ht="18.75" customHeight="1">
      <c r="A54" s="36" t="str">
        <f>'Plan operativo'!A51</f>
        <v>7.1.2</v>
      </c>
      <c r="B54" s="36">
        <v>7</v>
      </c>
      <c r="C54" s="36" t="str">
        <f>'Plan operativo'!D51</f>
        <v>7.1.2 Realizar una formación-acción en liderazgo con perspectiva de género</v>
      </c>
      <c r="D54" s="36" t="str">
        <f>'Plan operativo'!I51</f>
        <v>Todos los años</v>
      </c>
      <c r="E54" s="36">
        <f>'Plan operativo'!J51</f>
        <v>20</v>
      </c>
      <c r="F54" s="37">
        <f>'Plan operativo'!O51</f>
        <v>3000</v>
      </c>
      <c r="G54" s="38"/>
      <c r="H54" s="38"/>
      <c r="I54" s="38"/>
      <c r="J54" s="38"/>
      <c r="K54" s="39"/>
      <c r="L54" s="38"/>
      <c r="M54" s="40"/>
      <c r="N54" s="40"/>
      <c r="O54" s="40"/>
      <c r="P54" s="40"/>
      <c r="Q54" s="41"/>
      <c r="R54" s="40"/>
      <c r="S54" s="42"/>
      <c r="T54" s="42"/>
      <c r="U54" s="42"/>
      <c r="V54" s="42"/>
      <c r="W54" s="43"/>
      <c r="X54" s="42"/>
      <c r="Y54" s="44"/>
      <c r="Z54" s="44"/>
      <c r="AA54" s="44"/>
      <c r="AB54" s="44"/>
      <c r="AC54" s="45"/>
      <c r="AD54" s="44"/>
    </row>
    <row r="55" spans="1:30" ht="15" customHeight="1">
      <c r="A55" s="36" t="str">
        <f>'Plan operativo'!A52</f>
        <v>7.2.1</v>
      </c>
      <c r="B55" s="36">
        <v>7</v>
      </c>
      <c r="C55" s="36" t="str">
        <f>'Plan operativo'!D52</f>
        <v>7.2.1 Elaborar y difundir un manual de acogida</v>
      </c>
      <c r="D55" s="36" t="str">
        <f>'Plan operativo'!I52</f>
        <v>Todos los años</v>
      </c>
      <c r="E55" s="36">
        <f>'Plan operativo'!J52</f>
        <v>40</v>
      </c>
      <c r="F55" s="37">
        <f>'Plan operativo'!O52</f>
        <v>0</v>
      </c>
      <c r="G55" s="38"/>
      <c r="H55" s="38"/>
      <c r="I55" s="38"/>
      <c r="J55" s="38"/>
      <c r="K55" s="39"/>
      <c r="L55" s="38"/>
      <c r="M55" s="40"/>
      <c r="N55" s="40"/>
      <c r="O55" s="40"/>
      <c r="P55" s="40"/>
      <c r="Q55" s="41"/>
      <c r="R55" s="40"/>
      <c r="S55" s="42"/>
      <c r="T55" s="42"/>
      <c r="U55" s="42"/>
      <c r="V55" s="42"/>
      <c r="W55" s="43"/>
      <c r="X55" s="42"/>
      <c r="Y55" s="44"/>
      <c r="Z55" s="44"/>
      <c r="AA55" s="44"/>
      <c r="AB55" s="44"/>
      <c r="AC55" s="45"/>
      <c r="AD55" s="44"/>
    </row>
    <row r="56" spans="1:30" ht="18.75" customHeight="1">
      <c r="A56" s="36" t="str">
        <f>'Plan operativo'!A53</f>
        <v>7.2.2</v>
      </c>
      <c r="B56" s="36">
        <v>7</v>
      </c>
      <c r="C56" s="36" t="str">
        <f>'Plan operativo'!D53</f>
        <v>7.2.2 Integrar la perspectiva de género en la acogida y la identidad corporativa</v>
      </c>
      <c r="D56" s="36" t="str">
        <f>'Plan operativo'!I53</f>
        <v>2030</v>
      </c>
      <c r="E56" s="36">
        <f>'Plan operativo'!J53</f>
        <v>40</v>
      </c>
      <c r="F56" s="37">
        <f>'Plan operativo'!O53</f>
        <v>3000</v>
      </c>
      <c r="G56" s="38"/>
      <c r="H56" s="38"/>
      <c r="I56" s="38"/>
      <c r="J56" s="38"/>
      <c r="K56" s="39"/>
      <c r="L56" s="38"/>
      <c r="M56" s="40"/>
      <c r="N56" s="40"/>
      <c r="O56" s="40"/>
      <c r="P56" s="40"/>
      <c r="Q56" s="41"/>
      <c r="R56" s="40"/>
      <c r="S56" s="42"/>
      <c r="T56" s="42"/>
      <c r="U56" s="42"/>
      <c r="V56" s="42"/>
      <c r="W56" s="43"/>
      <c r="X56" s="42"/>
      <c r="Y56" s="44"/>
      <c r="Z56" s="44"/>
      <c r="AA56" s="44"/>
      <c r="AB56" s="44"/>
      <c r="AC56" s="45"/>
      <c r="AD56" s="44"/>
    </row>
    <row r="57" spans="1:30" ht="18.75" customHeight="1">
      <c r="A57" s="36" t="str">
        <f>'Plan operativo'!A54</f>
        <v>7.3.1</v>
      </c>
      <c r="B57" s="36">
        <v>7</v>
      </c>
      <c r="C57" s="36" t="str">
        <f>'Plan operativo'!D54</f>
        <v>7.3.1 Incorporar la perspectiva de género de forma transversal a la planificación estratégica</v>
      </c>
      <c r="D57" s="36" t="str">
        <f>'Plan operativo'!I54</f>
        <v>2030</v>
      </c>
      <c r="E57" s="36">
        <f>'Plan operativo'!J54</f>
        <v>80</v>
      </c>
      <c r="F57" s="37">
        <f>'Plan operativo'!O54</f>
        <v>0</v>
      </c>
      <c r="G57" s="38"/>
      <c r="H57" s="38"/>
      <c r="I57" s="38"/>
      <c r="J57" s="38"/>
      <c r="K57" s="39"/>
      <c r="L57" s="38"/>
      <c r="M57" s="40"/>
      <c r="N57" s="40"/>
      <c r="O57" s="40"/>
      <c r="P57" s="40"/>
      <c r="Q57" s="41"/>
      <c r="R57" s="40"/>
      <c r="S57" s="42"/>
      <c r="T57" s="42"/>
      <c r="U57" s="42"/>
      <c r="V57" s="42"/>
      <c r="W57" s="43"/>
      <c r="X57" s="42"/>
      <c r="Y57" s="44"/>
      <c r="Z57" s="44"/>
      <c r="AA57" s="44"/>
      <c r="AB57" s="44"/>
      <c r="AC57" s="45"/>
      <c r="AD57" s="44"/>
    </row>
    <row r="58" spans="1:30" ht="18.75" customHeight="1">
      <c r="A58" s="36" t="str">
        <f>'Plan operativo'!A55</f>
        <v>7.3.2</v>
      </c>
      <c r="B58" s="36">
        <v>7</v>
      </c>
      <c r="C58" s="36" t="str">
        <f>'Plan operativo'!D55</f>
        <v>7.3.2 Aprobar una guía o instrucción de comunicación inclusiva</v>
      </c>
      <c r="D58" s="36" t="str">
        <f>'Plan operativo'!I55</f>
        <v>2029</v>
      </c>
      <c r="E58" s="36">
        <f>'Plan operativo'!J55</f>
        <v>20</v>
      </c>
      <c r="F58" s="37">
        <f>'Plan operativo'!O55</f>
        <v>2500</v>
      </c>
      <c r="G58" s="38"/>
      <c r="H58" s="38"/>
      <c r="I58" s="38"/>
      <c r="J58" s="38"/>
      <c r="K58" s="39"/>
      <c r="L58" s="38"/>
      <c r="M58" s="40"/>
      <c r="N58" s="40"/>
      <c r="O58" s="40"/>
      <c r="P58" s="40"/>
      <c r="Q58" s="41"/>
      <c r="R58" s="40"/>
      <c r="S58" s="42"/>
      <c r="T58" s="42"/>
      <c r="U58" s="42"/>
      <c r="V58" s="42"/>
      <c r="W58" s="43"/>
      <c r="X58" s="42"/>
      <c r="Y58" s="44"/>
      <c r="Z58" s="44"/>
      <c r="AA58" s="44"/>
      <c r="AB58" s="44"/>
      <c r="AC58" s="45"/>
      <c r="AD58" s="44"/>
    </row>
    <row r="59" spans="1:30" ht="18.75" customHeight="1">
      <c r="A59" s="46" t="str">
        <f>'Plan operativo'!A56</f>
        <v>8.1.1</v>
      </c>
      <c r="B59" s="46">
        <v>8</v>
      </c>
      <c r="C59" s="46" t="str">
        <f>'Plan operativo'!D56</f>
        <v>8.1.1 Aprobar el protocolo frente al acoso sexual y por razón de sexo</v>
      </c>
      <c r="D59" s="46" t="str">
        <f>'Plan operativo'!I56</f>
        <v>2027</v>
      </c>
      <c r="E59" s="46">
        <f>'Plan operativo'!J56</f>
        <v>16</v>
      </c>
      <c r="F59" s="47">
        <f>'Plan operativo'!O56</f>
        <v>0</v>
      </c>
      <c r="G59" s="38"/>
      <c r="H59" s="38"/>
      <c r="I59" s="38"/>
      <c r="J59" s="38"/>
      <c r="K59" s="39"/>
      <c r="L59" s="38"/>
      <c r="M59" s="40"/>
      <c r="N59" s="40"/>
      <c r="O59" s="40"/>
      <c r="P59" s="40"/>
      <c r="Q59" s="41"/>
      <c r="R59" s="40"/>
      <c r="S59" s="42"/>
      <c r="T59" s="42"/>
      <c r="U59" s="42"/>
      <c r="V59" s="42"/>
      <c r="W59" s="43"/>
      <c r="X59" s="42"/>
      <c r="Y59" s="44"/>
      <c r="Z59" s="44"/>
      <c r="AA59" s="44"/>
      <c r="AB59" s="44"/>
      <c r="AC59" s="45"/>
      <c r="AD59" s="44"/>
    </row>
    <row r="60" spans="1:30" ht="18.75" customHeight="1">
      <c r="A60" s="46" t="str">
        <f>'Plan operativo'!A57</f>
        <v>8.1.2</v>
      </c>
      <c r="B60" s="46">
        <v>8</v>
      </c>
      <c r="C60" s="46" t="str">
        <f>'Plan operativo'!D57</f>
        <v>8.1.2 Constituir el grupo responsable de su implantación</v>
      </c>
      <c r="D60" s="46" t="str">
        <f>'Plan operativo'!I57</f>
        <v>2027</v>
      </c>
      <c r="E60" s="46">
        <f>'Plan operativo'!J57</f>
        <v>16</v>
      </c>
      <c r="F60" s="47">
        <f>'Plan operativo'!O57</f>
        <v>0</v>
      </c>
      <c r="G60" s="38"/>
      <c r="H60" s="38"/>
      <c r="I60" s="38"/>
      <c r="J60" s="38"/>
      <c r="K60" s="39"/>
      <c r="L60" s="38"/>
      <c r="M60" s="40"/>
      <c r="N60" s="40"/>
      <c r="O60" s="40"/>
      <c r="P60" s="40"/>
      <c r="Q60" s="41"/>
      <c r="R60" s="40"/>
      <c r="S60" s="42"/>
      <c r="T60" s="42"/>
      <c r="U60" s="42"/>
      <c r="V60" s="42"/>
      <c r="W60" s="43"/>
      <c r="X60" s="42"/>
      <c r="Y60" s="44"/>
      <c r="Z60" s="44"/>
      <c r="AA60" s="44"/>
      <c r="AB60" s="44"/>
      <c r="AC60" s="45"/>
      <c r="AD60" s="44"/>
    </row>
    <row r="61" spans="1:30" ht="18.75" customHeight="1">
      <c r="A61" s="46" t="str">
        <f>'Plan operativo'!A58</f>
        <v>8.1.3</v>
      </c>
      <c r="B61" s="46">
        <v>8</v>
      </c>
      <c r="C61" s="46" t="str">
        <f>'Plan operativo'!D58</f>
        <v>8.1.3 Difundir el protocolo y formar a la plantilla sobre su activación</v>
      </c>
      <c r="D61" s="46" t="str">
        <f>'Plan operativo'!I58</f>
        <v>2027</v>
      </c>
      <c r="E61" s="46">
        <f>'Plan operativo'!J58</f>
        <v>12</v>
      </c>
      <c r="F61" s="47">
        <f>'Plan operativo'!O58</f>
        <v>0</v>
      </c>
      <c r="G61" s="38"/>
      <c r="H61" s="38"/>
      <c r="I61" s="38"/>
      <c r="J61" s="38"/>
      <c r="K61" s="39"/>
      <c r="L61" s="38"/>
      <c r="M61" s="40"/>
      <c r="N61" s="40"/>
      <c r="O61" s="40"/>
      <c r="P61" s="40"/>
      <c r="Q61" s="41"/>
      <c r="R61" s="40"/>
      <c r="S61" s="42"/>
      <c r="T61" s="42"/>
      <c r="U61" s="42"/>
      <c r="V61" s="42"/>
      <c r="W61" s="43"/>
      <c r="X61" s="42"/>
      <c r="Y61" s="44"/>
      <c r="Z61" s="44"/>
      <c r="AA61" s="44"/>
      <c r="AB61" s="44"/>
      <c r="AC61" s="45"/>
      <c r="AD61" s="44"/>
    </row>
    <row r="62" spans="1:30" ht="18.75" customHeight="1">
      <c r="A62" s="46" t="str">
        <f>'Plan operativo'!A59</f>
        <v>8.2.1</v>
      </c>
      <c r="B62" s="46">
        <v>8</v>
      </c>
      <c r="C62" s="46" t="str">
        <f>'Plan operativo'!D59</f>
        <v>8.2.1 Incorporar el acoso a la evaluación de riesgos psicosociales</v>
      </c>
      <c r="D62" s="46" t="str">
        <f>'Plan operativo'!I59</f>
        <v>2027</v>
      </c>
      <c r="E62" s="46">
        <f>'Plan operativo'!J59</f>
        <v>6</v>
      </c>
      <c r="F62" s="47">
        <f>'Plan operativo'!O59</f>
        <v>0</v>
      </c>
      <c r="G62" s="38"/>
      <c r="H62" s="38"/>
      <c r="I62" s="38"/>
      <c r="J62" s="38"/>
      <c r="K62" s="39"/>
      <c r="L62" s="38"/>
      <c r="M62" s="40"/>
      <c r="N62" s="40"/>
      <c r="O62" s="40"/>
      <c r="P62" s="40"/>
      <c r="Q62" s="41"/>
      <c r="R62" s="40"/>
      <c r="S62" s="42"/>
      <c r="T62" s="42"/>
      <c r="U62" s="42"/>
      <c r="V62" s="42"/>
      <c r="W62" s="43"/>
      <c r="X62" s="42"/>
      <c r="Y62" s="44"/>
      <c r="Z62" s="44"/>
      <c r="AA62" s="44"/>
      <c r="AB62" s="44"/>
      <c r="AC62" s="45"/>
      <c r="AD62" s="44"/>
    </row>
    <row r="63" spans="1:30" ht="27.75" customHeight="1">
      <c r="A63" s="46" t="str">
        <f>'Plan operativo'!A60</f>
        <v>8.3.1</v>
      </c>
      <c r="B63" s="46">
        <v>8</v>
      </c>
      <c r="C63" s="46" t="str">
        <f>'Plan operativo'!D60</f>
        <v>8.3.1 Aprobar una instrucción municipal que actualice el concepto de víctima y el acceso a las medidas</v>
      </c>
      <c r="D63" s="46" t="str">
        <f>'Plan operativo'!I60</f>
        <v>2028</v>
      </c>
      <c r="E63" s="46">
        <f>'Plan operativo'!J60</f>
        <v>20</v>
      </c>
      <c r="F63" s="47">
        <f>'Plan operativo'!O60</f>
        <v>0</v>
      </c>
      <c r="G63" s="38"/>
      <c r="H63" s="38"/>
      <c r="I63" s="38"/>
      <c r="J63" s="38"/>
      <c r="K63" s="39"/>
      <c r="L63" s="38"/>
      <c r="M63" s="40"/>
      <c r="N63" s="40"/>
      <c r="O63" s="40"/>
      <c r="P63" s="40"/>
      <c r="Q63" s="41"/>
      <c r="R63" s="40"/>
      <c r="S63" s="42"/>
      <c r="T63" s="42"/>
      <c r="U63" s="42"/>
      <c r="V63" s="42"/>
      <c r="W63" s="43"/>
      <c r="X63" s="42"/>
      <c r="Y63" s="44"/>
      <c r="Z63" s="44"/>
      <c r="AA63" s="44"/>
      <c r="AB63" s="44"/>
      <c r="AC63" s="45"/>
      <c r="AD63" s="44"/>
    </row>
    <row r="64" spans="1:30" ht="15" customHeight="1">
      <c r="A64" s="46" t="str">
        <f>'Plan operativo'!A61</f>
        <v>8.3.2</v>
      </c>
      <c r="B64" s="46">
        <v>8</v>
      </c>
      <c r="C64" s="46" t="str">
        <f>'Plan operativo'!D61</f>
        <v>8.3.2 Elaborar y difundir una guía de recursos</v>
      </c>
      <c r="D64" s="46" t="str">
        <f>'Plan operativo'!I61</f>
        <v>2029</v>
      </c>
      <c r="E64" s="46">
        <f>'Plan operativo'!J61</f>
        <v>12</v>
      </c>
      <c r="F64" s="47">
        <f>'Plan operativo'!O61</f>
        <v>0</v>
      </c>
      <c r="G64" s="38"/>
      <c r="H64" s="38"/>
      <c r="I64" s="38"/>
      <c r="J64" s="38"/>
      <c r="K64" s="39"/>
      <c r="L64" s="38"/>
      <c r="M64" s="40"/>
      <c r="N64" s="40"/>
      <c r="O64" s="40"/>
      <c r="P64" s="40"/>
      <c r="Q64" s="41"/>
      <c r="R64" s="40"/>
      <c r="S64" s="42"/>
      <c r="T64" s="42"/>
      <c r="U64" s="42"/>
      <c r="V64" s="42"/>
      <c r="W64" s="43"/>
      <c r="X64" s="42"/>
      <c r="Y64" s="44"/>
      <c r="Z64" s="44"/>
      <c r="AA64" s="44"/>
      <c r="AB64" s="44"/>
      <c r="AC64" s="45"/>
      <c r="AD64" s="44"/>
    </row>
  </sheetData>
  <mergeCells count="4">
    <mergeCell ref="G3:L3"/>
    <mergeCell ref="M3:R3"/>
    <mergeCell ref="S3:X3"/>
    <mergeCell ref="Y3:AD3"/>
  </mergeCells>
  <dataValidations count="1">
    <dataValidation type="list" allowBlank="1" sqref="G5:G64 M5:M64 S5:S64 Y5:Y64" xr:uid="{00000000-0002-0000-0400-000000000000}">
      <formula1>"No iniciada,En curso,Ejecutada,Aplazada,No procede"</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Elena Ortiz De Lejarazu</cp:lastModifiedBy>
  <cp:revision>0</cp:revision>
  <dcterms:created xsi:type="dcterms:W3CDTF">2026-08-07T11:49:10Z</dcterms:created>
  <dcterms:modified xsi:type="dcterms:W3CDTF">2026-10-01T10:25:23Z</dcterms:modified>
  <cp:category/>
  <cp:contentStatus/>
</cp:coreProperties>
</file>